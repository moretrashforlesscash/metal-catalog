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-&quot;"/>
    <numFmt numFmtId="165" formatCode="0.000"/>
  </numFmts>
  <fonts count="1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color rgb="000000FF"/>
    </font>
    <font>
      <name val="Arial"/>
      <i val="1"/>
      <color rgb="00808080"/>
    </font>
    <font>
      <name val="Arial"/>
      <i val="1"/>
    </font>
    <font>
      <name val="Arial"/>
      <b val="1"/>
      <color rgb="00FFFFFF"/>
    </font>
    <font>
      <name val="Arial"/>
      <b val="1"/>
      <color rgb="00C55A11"/>
    </font>
    <font>
      <name val="Arial"/>
      <b val="1"/>
      <color rgb="00007A33"/>
    </font>
    <font>
      <name val="Arial"/>
      <b val="1"/>
      <color rgb="007F6000"/>
    </font>
    <font>
      <name val="Arial"/>
      <b val="1"/>
      <color rgb="00C00000"/>
    </font>
    <font>
      <name val="Arial"/>
      <b val="1"/>
    </font>
    <font>
      <name val="Arial"/>
      <color theme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0549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3" fillId="2" borderId="0" pivotButton="0" quotePrefix="0" xfId="0"/>
    <xf numFmtId="0" fontId="4" fillId="0" borderId="0" pivotButton="0" quotePrefix="0" xfId="0"/>
    <xf numFmtId="9" fontId="3" fillId="2" borderId="0" pivotButton="0" quotePrefix="0" xfId="0"/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164" fontId="12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164" fontId="3" fillId="4" borderId="1" applyAlignment="1" pivotButton="0" quotePrefix="0" xfId="0">
      <alignment vertical="top" wrapText="1"/>
    </xf>
    <xf numFmtId="165" fontId="3" fillId="4" borderId="1" applyAlignment="1" pivotButton="0" quotePrefix="0" xfId="0">
      <alignment vertical="top" wrapText="1"/>
    </xf>
    <xf numFmtId="164" fontId="12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1" fillId="0" borderId="0" pivotButton="0" quotePrefix="0" xfId="0"/>
    <xf numFmtId="164" fontId="11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metal-catalog</author>
  </authors>
  <commentList>
    <comment ref="H10" authorId="0" shapeId="0">
      <text>
        <t>теор.т — теоретическая тонна; прайс 2026-10-29</t>
      </text>
    </comment>
    <comment ref="H11" authorId="0" shapeId="0">
      <text>
        <t>теор.т — теоретическая тонна; прайс 2026-10-29</t>
      </text>
    </comment>
    <comment ref="H12" authorId="0" shapeId="0">
      <text>
        <t>т — тонна; прайс 2026-10-29</t>
      </text>
    </comment>
    <comment ref="H13" authorId="0" shapeId="0">
      <text>
        <t>т — тонна; прайс 2026-10-29</t>
      </text>
    </comment>
    <comment ref="H14" authorId="0" shapeId="0">
      <text>
        <t>т — тонна; прайс 2026-10-29</t>
      </text>
    </comment>
    <comment ref="H15" authorId="0" shapeId="0">
      <text>
        <t>т — тонна; прайс 2026-10-29</t>
      </text>
    </comment>
    <comment ref="H16" authorId="0" shapeId="0">
      <text>
        <t>т — тонна; прайс 2026-10-29</t>
      </text>
    </comment>
    <comment ref="H17" authorId="0" shapeId="0">
      <text>
        <t>теор.т — теоретическая тонна; прайс 2026-10-29</t>
      </text>
    </comment>
    <comment ref="H18" authorId="0" shapeId="0">
      <text>
        <t>теор.т — теоретическая тонна; прайс 2026-10-29</t>
      </text>
    </comment>
    <comment ref="H19" authorId="0" shapeId="0">
      <text>
        <t>т — тонна; прайс 2026-10-29</t>
      </text>
    </comment>
    <comment ref="H20" authorId="0" shapeId="0">
      <text>
        <t>т — тонна; прайс 2026-10-29</t>
      </text>
    </comment>
    <comment ref="H21" authorId="0" shapeId="0">
      <text>
        <t>т — тонна; прайс 2026-10-29</t>
      </text>
    </comment>
    <comment ref="H22" authorId="0" shapeId="0">
      <text>
        <t>т — тонна; прайс 2026-10-29</t>
      </text>
    </comment>
    <comment ref="H23" authorId="0" shapeId="0">
      <text>
        <t>теор.т — теоретическая тонна; прайс 2026-10-29</t>
      </text>
    </comment>
    <comment ref="H26" authorId="0" shapeId="0">
      <text>
        <t>теор.т — теоретическая тонна; прайс 2026-10-29</t>
      </text>
    </comment>
    <comment ref="H27" authorId="0" shapeId="0">
      <text>
        <t>теор.т — теоретическая тонна; прайс 2026-10-29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4" customWidth="1" min="2" max="2"/>
    <col width="7" customWidth="1" min="3" max="3"/>
    <col width="5" customWidth="1" min="4" max="4"/>
    <col width="42" customWidth="1" min="5" max="5"/>
    <col width="12" customWidth="1" min="6" max="6"/>
    <col width="13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6" customWidth="1" min="17" max="17"/>
    <col width="48" customWidth="1" min="18" max="18"/>
  </cols>
  <sheetData>
    <row r="1">
      <c r="A1" s="1" t="inlineStr">
        <is>
          <t>Заявка 3 — расчёт (внутренний)</t>
        </is>
      </c>
    </row>
    <row r="2"/>
    <row r="3">
      <c r="A3" s="2" t="inlineStr">
        <is>
          <t>Курс ₸ за 1 ₽</t>
        </is>
      </c>
      <c r="B3" s="3" t="n">
        <v>5.67</v>
      </c>
      <c r="C3" s="4" t="inlineStr">
        <is>
          <t>Официальный курс НБ РК на 29.10.2026 (scripts/rate.py). Реальный курс оплаты может отличаться</t>
        </is>
      </c>
    </row>
    <row r="4">
      <c r="A4" s="2" t="inlineStr">
        <is>
          <t>НДС РФ в цене поставщика</t>
        </is>
      </c>
      <c r="B4" s="5" t="n">
        <v>0.22</v>
      </c>
      <c r="C4" s="4" t="inlineStr">
        <is>
          <t>Цены «Металл Сервис» — с НДС РФ 22% (с 01.01.2026)</t>
        </is>
      </c>
    </row>
    <row r="5">
      <c r="A5" s="2" t="inlineStr">
        <is>
          <t>НДС РК</t>
        </is>
      </c>
      <c r="B5" s="5" t="n">
        <v>0.16</v>
      </c>
      <c r="C5" s="4" t="inlineStr">
        <is>
          <t>Налоговый кодекс РК, с 01.01.2026</t>
        </is>
      </c>
    </row>
    <row r="6"/>
    <row r="7" ht="32" customHeight="1">
      <c r="A7" s="6" t="inlineStr">
        <is>
          <t>Цены из прайса «Металл Сервис» от 29.10.2026, без доставки. ₸/т с НДС РК = ₽/т ÷ (1 + НДС РФ) × курс × (1 + НДС РК). Вес теоретический (факт ±3–8%). Синие ячейки на жёлтом — можно менять, остальное пересчитается.</t>
        </is>
      </c>
    </row>
    <row r="8"/>
    <row r="9" ht="45" customHeight="1">
      <c r="A9" s="7" t="inlineStr">
        <is>
          <t>№</t>
        </is>
      </c>
      <c r="B9" s="7" t="inlineStr">
        <is>
          <t>Позиция из заявки</t>
        </is>
      </c>
      <c r="C9" s="7" t="inlineStr">
        <is>
          <t>Кол-во</t>
        </is>
      </c>
      <c r="D9" s="7" t="inlineStr">
        <is>
          <t>Ед.</t>
        </is>
      </c>
      <c r="E9" s="7" t="inlineStr">
        <is>
          <t>Что нашли в каталоге</t>
        </is>
      </c>
      <c r="F9" s="7" t="inlineStr">
        <is>
          <t>Соответствие</t>
        </is>
      </c>
      <c r="G9" s="7" t="inlineStr">
        <is>
          <t>Склад</t>
        </is>
      </c>
      <c r="H9" s="7" t="inlineStr">
        <is>
          <t>Цена, ₽/т
(с НДС РФ 22%)</t>
        </is>
      </c>
      <c r="I9" s="7" t="inlineStr">
        <is>
          <t>Масса,
кг/м (кг/м²)</t>
        </is>
      </c>
      <c r="J9" s="7" t="inlineStr">
        <is>
          <t>Цена, ₸/т
с НДС 16%</t>
        </is>
      </c>
      <c r="K9" s="7" t="inlineStr">
        <is>
          <t>Цена, ₸/т
без НДС</t>
        </is>
      </c>
      <c r="L9" s="7" t="inlineStr">
        <is>
          <t>Цена, ₸ за м (м²)
с НДС 16%</t>
        </is>
      </c>
      <c r="M9" s="7" t="inlineStr">
        <is>
          <t>Сумма, ₸
с НДС 16%</t>
        </is>
      </c>
      <c r="N9" s="7" t="inlineStr">
        <is>
          <t>Дешевле всего:
склад</t>
        </is>
      </c>
      <c r="O9" s="7" t="inlineStr">
        <is>
          <t>₽/т на том
складе</t>
        </is>
      </c>
      <c r="P9" s="7" t="inlineStr">
        <is>
          <t>₸/т с НДС 16%
на том складе</t>
        </is>
      </c>
      <c r="Q9" s="7" t="inlineStr">
        <is>
          <t>Источник
(файл:строка)</t>
        </is>
      </c>
      <c r="R9" s="7" t="inlineStr">
        <is>
          <t>Примечание</t>
        </is>
      </c>
    </row>
    <row r="10">
      <c r="A10" s="8" t="n">
        <v>1</v>
      </c>
      <c r="B10" s="8" t="inlineStr">
        <is>
          <t>Труба профильная 300*300 мм, стенка 3 мм</t>
        </is>
      </c>
      <c r="C10" s="8" t="n">
        <v>48</v>
      </c>
      <c r="D10" s="8" t="inlineStr">
        <is>
          <t>м</t>
        </is>
      </c>
      <c r="E10" s="8" t="inlineStr">
        <is>
          <t>ТРУБЫ ЭЛЕКТРОСВАРНЫЕ КВАДРАТ | 300 | стенка 6</t>
        </is>
      </c>
      <c r="F10" s="9" t="inlineStr">
        <is>
          <t>аналог</t>
        </is>
      </c>
      <c r="G10" s="8" t="inlineStr">
        <is>
          <t>Москва</t>
        </is>
      </c>
      <c r="H10" s="10" t="n">
        <v>60590</v>
      </c>
      <c r="I10" s="11" t="n">
        <v>54.904</v>
      </c>
      <c r="J10" s="12">
        <f>H10/(1+$B$4)*$B$3*(1+$B$5)</f>
        <v/>
      </c>
      <c r="K10" s="12">
        <f>J10/(1+$B$5)</f>
        <v/>
      </c>
      <c r="L10" s="12">
        <f>J10*I10/1000</f>
        <v/>
      </c>
      <c r="M10" s="12">
        <f>C10*L10</f>
        <v/>
      </c>
      <c r="N10" s="8" t="inlineStr">
        <is>
          <t>Москва</t>
        </is>
      </c>
      <c r="O10" s="10" t="n">
        <v>60590</v>
      </c>
      <c r="P10" s="12">
        <f>O10/(1+$B$4)*$B$3*(1+$B$5)</f>
        <v/>
      </c>
      <c r="Q10" s="8" t="inlineStr">
        <is>
          <t>truby.xls:1417:A · 2026-10-29</t>
        </is>
      </c>
      <c r="R10" s="8" t="inlineStr">
        <is>
          <t>Стенки 3 мм для 300×300 нет — минимальная в каталоге 6 мм (вдвое тяжелее) Цена за теоретический вес.</t>
        </is>
      </c>
    </row>
    <row r="11">
      <c r="A11" s="8" t="n">
        <v>2</v>
      </c>
      <c r="B11" s="8" t="inlineStr">
        <is>
          <t>Труба профильная 200*200 мм, стенка 3 мм</t>
        </is>
      </c>
      <c r="C11" s="8" t="n">
        <v>60</v>
      </c>
      <c r="D11" s="8" t="inlineStr">
        <is>
          <t>м</t>
        </is>
      </c>
      <c r="E11" s="8" t="inlineStr">
        <is>
          <t>ТРУБЫ ЭЛЕКТРОСВАРНЫЕ КВАДРАТ | 200 | стенка 5</t>
        </is>
      </c>
      <c r="F11" s="9" t="inlineStr">
        <is>
          <t>аналог</t>
        </is>
      </c>
      <c r="G11" s="8" t="inlineStr">
        <is>
          <t>Москва</t>
        </is>
      </c>
      <c r="H11" s="10" t="n">
        <v>60090</v>
      </c>
      <c r="I11" s="11" t="n">
        <v>30.277</v>
      </c>
      <c r="J11" s="12">
        <f>H11/(1+$B$4)*$B$3*(1+$B$5)</f>
        <v/>
      </c>
      <c r="K11" s="12">
        <f>J11/(1+$B$5)</f>
        <v/>
      </c>
      <c r="L11" s="12">
        <f>J11*I11/1000</f>
        <v/>
      </c>
      <c r="M11" s="12">
        <f>C11*L11</f>
        <v/>
      </c>
      <c r="N11" s="8" t="inlineStr">
        <is>
          <t>Москва</t>
        </is>
      </c>
      <c r="O11" s="10" t="n">
        <v>60090</v>
      </c>
      <c r="P11" s="12">
        <f>O11/(1+$B$4)*$B$3*(1+$B$5)</f>
        <v/>
      </c>
      <c r="Q11" s="8" t="inlineStr">
        <is>
          <t>truby.xls:1377:A · 2026-10-29</t>
        </is>
      </c>
      <c r="R11" s="8" t="inlineStr">
        <is>
          <t>Стенки 3 мм для 200×200 нет — минимальная в каталоге 5 мм Цена за теоретический вес.</t>
        </is>
      </c>
    </row>
    <row r="12">
      <c r="A12" s="8" t="n">
        <v>3</v>
      </c>
      <c r="B12" s="8" t="inlineStr">
        <is>
          <t>Труба профильная 150*150 мм, стенка 3 мм</t>
        </is>
      </c>
      <c r="C12" s="8" t="n">
        <v>18</v>
      </c>
      <c r="D12" s="8" t="inlineStr">
        <is>
          <t>м</t>
        </is>
      </c>
      <c r="E12" s="8" t="inlineStr">
        <is>
          <t>ТРУБЫ ЭЛЕКТРОСВАРНЫЕ КВАДРАТ | 150 | стенка 4</t>
        </is>
      </c>
      <c r="F12" s="9" t="inlineStr">
        <is>
          <t>аналог</t>
        </is>
      </c>
      <c r="G12" s="8" t="inlineStr">
        <is>
          <t>Москва</t>
        </is>
      </c>
      <c r="H12" s="10" t="n">
        <v>56090</v>
      </c>
      <c r="I12" s="11" t="n">
        <v>18.122</v>
      </c>
      <c r="J12" s="12">
        <f>H12/(1+$B$4)*$B$3*(1+$B$5)</f>
        <v/>
      </c>
      <c r="K12" s="12">
        <f>J12/(1+$B$5)</f>
        <v/>
      </c>
      <c r="L12" s="12">
        <f>J12*I12/1000</f>
        <v/>
      </c>
      <c r="M12" s="12">
        <f>C12*L12</f>
        <v/>
      </c>
      <c r="N12" s="8" t="inlineStr">
        <is>
          <t>Москва</t>
        </is>
      </c>
      <c r="O12" s="10" t="n">
        <v>56090</v>
      </c>
      <c r="P12" s="12">
        <f>O12/(1+$B$4)*$B$3*(1+$B$5)</f>
        <v/>
      </c>
      <c r="Q12" s="8" t="inlineStr">
        <is>
          <t>truby.xls:1306:F · 2026-10-29</t>
        </is>
      </c>
      <c r="R12" s="8" t="inlineStr">
        <is>
          <t>Стенки 3 мм для 150×150 нет — минимальная в каталоге 4 мм</t>
        </is>
      </c>
    </row>
    <row r="13">
      <c r="A13" s="8" t="n">
        <v>4</v>
      </c>
      <c r="B13" s="8" t="inlineStr">
        <is>
          <t>Лист г/к рифлёный, толщина 4 мм</t>
        </is>
      </c>
      <c r="C13" s="8" t="n">
        <v>42</v>
      </c>
      <c r="D13" s="8" t="inlineStr">
        <is>
          <t>м2</t>
        </is>
      </c>
      <c r="E13" s="8" t="inlineStr">
        <is>
          <t>ЛИСТ РИФЛЕНЫЙ | н/обр чечев | толщина 4</t>
        </is>
      </c>
      <c r="F13" s="13" t="inlineStr">
        <is>
          <t>точно</t>
        </is>
      </c>
      <c r="G13" s="8" t="inlineStr">
        <is>
          <t>Москва</t>
        </is>
      </c>
      <c r="H13" s="10" t="n">
        <v>55990</v>
      </c>
      <c r="I13" s="14" t="n">
        <v>31.4</v>
      </c>
      <c r="J13" s="12">
        <f>H13/(1+$B$4)*$B$3*(1+$B$5)</f>
        <v/>
      </c>
      <c r="K13" s="12">
        <f>J13/(1+$B$5)</f>
        <v/>
      </c>
      <c r="L13" s="12">
        <f>J13*I13/1000</f>
        <v/>
      </c>
      <c r="M13" s="12">
        <f>C13*L13</f>
        <v/>
      </c>
      <c r="N13" s="8" t="inlineStr">
        <is>
          <t>Москва</t>
        </is>
      </c>
      <c r="O13" s="10" t="n">
        <v>55990</v>
      </c>
      <c r="P13" s="12">
        <f>O13/(1+$B$4)*$B$3*(1+$B$5)</f>
        <v/>
      </c>
      <c r="Q13" s="8" t="inlineStr">
        <is>
          <t>listovojprokat.xls:102:F · 2026-10-29</t>
        </is>
      </c>
      <c r="R13" s="8" t="inlineStr">
        <is>
          <t>Рифление «чечевица». Масса 31,4 кг/м² — как у гладкого листа; рифлёный тяжелее на несколько %, уточнить</t>
        </is>
      </c>
    </row>
    <row r="14">
      <c r="A14" s="15" t="n"/>
      <c r="B14" s="15" t="inlineStr">
        <is>
          <t>↳ вариант</t>
        </is>
      </c>
      <c r="C14" s="15" t="n"/>
      <c r="D14" s="15" t="n"/>
      <c r="E14" s="15" t="inlineStr">
        <is>
          <t>ЛИСТ РИФЛЕНЫЙ | н/обр ромб | толщина 4</t>
        </is>
      </c>
      <c r="F14" s="16" t="inlineStr">
        <is>
          <t>аналог</t>
        </is>
      </c>
      <c r="G14" s="15" t="inlineStr">
        <is>
          <t>Москва</t>
        </is>
      </c>
      <c r="H14" s="17" t="n">
        <v>62990</v>
      </c>
      <c r="I14" s="18" t="n">
        <v>31.4</v>
      </c>
      <c r="J14" s="19">
        <f>H14/(1+$B$4)*$B$3*(1+$B$5)</f>
        <v/>
      </c>
      <c r="K14" s="19">
        <f>J14/(1+$B$5)</f>
        <v/>
      </c>
      <c r="L14" s="19">
        <f>J14*I14/1000</f>
        <v/>
      </c>
      <c r="M14" s="20" t="n"/>
      <c r="N14" s="15" t="inlineStr">
        <is>
          <t>Москва</t>
        </is>
      </c>
      <c r="O14" s="17" t="n">
        <v>62990</v>
      </c>
      <c r="P14" s="19">
        <f>O14/(1+$B$4)*$B$3*(1+$B$5)</f>
        <v/>
      </c>
      <c r="Q14" s="15" t="inlineStr">
        <is>
          <t>listovojprokat.xls:94:F · 2026-10-29</t>
        </is>
      </c>
      <c r="R14" s="15" t="inlineStr">
        <is>
          <t>Рифление «ромб». Масса — как у гладкого листа, уточнить</t>
        </is>
      </c>
    </row>
    <row r="15">
      <c r="A15" s="8" t="n">
        <v>5</v>
      </c>
      <c r="B15" s="8" t="inlineStr">
        <is>
          <t>Лист г/к, толщина 22 мм</t>
        </is>
      </c>
      <c r="C15" s="8" t="n">
        <v>20</v>
      </c>
      <c r="D15" s="8" t="inlineStr">
        <is>
          <t>м2</t>
        </is>
      </c>
      <c r="E15" s="8" t="inlineStr">
        <is>
          <t>СТАЛЬ ЛИСТОВАЯ Г/К ОБЫЧ КАЧЕСТВА | Ст3 обр | толщина 22</t>
        </is>
      </c>
      <c r="F15" s="13" t="inlineStr">
        <is>
          <t>точно</t>
        </is>
      </c>
      <c r="G15" s="8" t="inlineStr">
        <is>
          <t>Москва</t>
        </is>
      </c>
      <c r="H15" s="10" t="n">
        <v>66490</v>
      </c>
      <c r="I15" s="11" t="n">
        <v>172.7</v>
      </c>
      <c r="J15" s="12">
        <f>H15/(1+$B$4)*$B$3*(1+$B$5)</f>
        <v/>
      </c>
      <c r="K15" s="12">
        <f>J15/(1+$B$5)</f>
        <v/>
      </c>
      <c r="L15" s="12">
        <f>J15*I15/1000</f>
        <v/>
      </c>
      <c r="M15" s="12">
        <f>C15*L15</f>
        <v/>
      </c>
      <c r="N15" s="8" t="inlineStr">
        <is>
          <t>Москва</t>
        </is>
      </c>
      <c r="O15" s="10" t="n">
        <v>66490</v>
      </c>
      <c r="P15" s="12">
        <f>O15/(1+$B$4)*$B$3*(1+$B$5)</f>
        <v/>
      </c>
      <c r="Q15" s="8" t="inlineStr">
        <is>
          <t>listovojprokat.xls:59:A · 2026-10-29</t>
        </is>
      </c>
      <c r="R15" s="8" t="inlineStr">
        <is>
          <t>Формат листа — уточнить</t>
        </is>
      </c>
    </row>
    <row r="16">
      <c r="A16" s="8" t="n">
        <v>6</v>
      </c>
      <c r="B16" s="8" t="inlineStr">
        <is>
          <t>Лист г/к, толщина 12 мм</t>
        </is>
      </c>
      <c r="C16" s="8" t="n">
        <v>3</v>
      </c>
      <c r="D16" s="8" t="inlineStr">
        <is>
          <t>м2</t>
        </is>
      </c>
      <c r="E16" s="8" t="inlineStr">
        <is>
          <t>СТАЛЬ ЛИСТОВАЯ Г/К ОБЫЧ КАЧЕСТВА | Ст3 н/обр | толщина 12</t>
        </is>
      </c>
      <c r="F16" s="13" t="inlineStr">
        <is>
          <t>точно</t>
        </is>
      </c>
      <c r="G16" s="8" t="inlineStr">
        <is>
          <t>Москва</t>
        </is>
      </c>
      <c r="H16" s="10" t="n">
        <v>61490</v>
      </c>
      <c r="I16" s="11" t="n">
        <v>94.2</v>
      </c>
      <c r="J16" s="12">
        <f>H16/(1+$B$4)*$B$3*(1+$B$5)</f>
        <v/>
      </c>
      <c r="K16" s="12">
        <f>J16/(1+$B$5)</f>
        <v/>
      </c>
      <c r="L16" s="12">
        <f>J16*I16/1000</f>
        <v/>
      </c>
      <c r="M16" s="12">
        <f>C16*L16</f>
        <v/>
      </c>
      <c r="N16" s="8" t="inlineStr">
        <is>
          <t>Москва</t>
        </is>
      </c>
      <c r="O16" s="10" t="n">
        <v>61490</v>
      </c>
      <c r="P16" s="12">
        <f>O16/(1+$B$4)*$B$3*(1+$B$5)</f>
        <v/>
      </c>
      <c r="Q16" s="8" t="inlineStr">
        <is>
          <t>listovojprokat.xls:33:A · 2026-10-29</t>
        </is>
      </c>
      <c r="R16" s="8" t="inlineStr">
        <is>
          <t>Формат листа — уточнить</t>
        </is>
      </c>
    </row>
    <row r="17">
      <c r="A17" s="8" t="n">
        <v>7</v>
      </c>
      <c r="B17" s="8" t="inlineStr">
        <is>
          <t>Двутавровая балка, высота 300 мм</t>
        </is>
      </c>
      <c r="C17" s="8" t="n">
        <v>7</v>
      </c>
      <c r="D17" s="8" t="inlineStr">
        <is>
          <t>м</t>
        </is>
      </c>
      <c r="E17" s="8" t="inlineStr">
        <is>
          <t>БАЛКИ ДВУТАВРОВЫЕ | 30 | Хар-ка Б1</t>
        </is>
      </c>
      <c r="F17" s="21" t="inlineStr">
        <is>
          <t>уточнить</t>
        </is>
      </c>
      <c r="G17" s="8" t="inlineStr">
        <is>
          <t>Москва</t>
        </is>
      </c>
      <c r="H17" s="10" t="n">
        <v>82800</v>
      </c>
      <c r="I17" s="11" t="n">
        <v>32.9</v>
      </c>
      <c r="J17" s="12">
        <f>H17/(1+$B$4)*$B$3*(1+$B$5)</f>
        <v/>
      </c>
      <c r="K17" s="12">
        <f>J17/(1+$B$5)</f>
        <v/>
      </c>
      <c r="L17" s="12">
        <f>J17*I17/1000</f>
        <v/>
      </c>
      <c r="M17" s="12">
        <f>C17*L17</f>
        <v/>
      </c>
      <c r="N17" s="8" t="inlineStr">
        <is>
          <t>Москва</t>
        </is>
      </c>
      <c r="O17" s="10" t="n">
        <v>82800</v>
      </c>
      <c r="P17" s="12">
        <f>O17/(1+$B$4)*$B$3*(1+$B$5)</f>
        <v/>
      </c>
      <c r="Q17" s="8" t="inlineStr">
        <is>
          <t>sortovojprokat.xls:201:F · 2026-10-29</t>
        </is>
      </c>
      <c r="R17" s="8" t="inlineStr">
        <is>
          <t>Серия не указана: 30Б1 — самая лёгкая Цена за теоретический вес.</t>
        </is>
      </c>
    </row>
    <row r="18">
      <c r="A18" s="15" t="n"/>
      <c r="B18" s="15" t="inlineStr">
        <is>
          <t>↳ вариант</t>
        </is>
      </c>
      <c r="C18" s="15" t="n"/>
      <c r="D18" s="15" t="n"/>
      <c r="E18" s="15" t="inlineStr">
        <is>
          <t>БАЛКИ ДВУТАВРОВЫЕ | 30 | Хар-ка Ш1</t>
        </is>
      </c>
      <c r="F18" s="22" t="inlineStr">
        <is>
          <t>уточнить</t>
        </is>
      </c>
      <c r="G18" s="15" t="inlineStr">
        <is>
          <t>Москва</t>
        </is>
      </c>
      <c r="H18" s="17" t="n">
        <v>82500</v>
      </c>
      <c r="I18" s="23" t="n">
        <v>53.6</v>
      </c>
      <c r="J18" s="19">
        <f>H18/(1+$B$4)*$B$3*(1+$B$5)</f>
        <v/>
      </c>
      <c r="K18" s="19">
        <f>J18/(1+$B$5)</f>
        <v/>
      </c>
      <c r="L18" s="19">
        <f>J18*I18/1000</f>
        <v/>
      </c>
      <c r="M18" s="20" t="n"/>
      <c r="N18" s="15" t="inlineStr">
        <is>
          <t>Москва</t>
        </is>
      </c>
      <c r="O18" s="17" t="n">
        <v>82500</v>
      </c>
      <c r="P18" s="19">
        <f>O18/(1+$B$4)*$B$3*(1+$B$5)</f>
        <v/>
      </c>
      <c r="Q18" s="15" t="inlineStr">
        <is>
          <t>sortovojprokat.xls:209:F · 2026-10-29</t>
        </is>
      </c>
      <c r="R18" s="15" t="inlineStr">
        <is>
          <t>30Ш1 — широкополочная, тяжелее Цена за теоретический вес.</t>
        </is>
      </c>
    </row>
    <row r="19">
      <c r="A19" s="8" t="n">
        <v>8</v>
      </c>
      <c r="B19" s="8" t="inlineStr">
        <is>
          <t>Угольник 40*40</t>
        </is>
      </c>
      <c r="C19" s="8" t="n">
        <v>300</v>
      </c>
      <c r="D19" s="8" t="inlineStr">
        <is>
          <t>м</t>
        </is>
      </c>
      <c r="E19" s="8" t="inlineStr">
        <is>
          <t>УГОЛОК | 40x40 | толщина 4</t>
        </is>
      </c>
      <c r="F19" s="21" t="inlineStr">
        <is>
          <t>уточнить</t>
        </is>
      </c>
      <c r="G19" s="8" t="inlineStr">
        <is>
          <t>Москва</t>
        </is>
      </c>
      <c r="H19" s="10" t="n">
        <v>82490</v>
      </c>
      <c r="I19" s="11" t="n">
        <v>2.42</v>
      </c>
      <c r="J19" s="12">
        <f>H19/(1+$B$4)*$B$3*(1+$B$5)</f>
        <v/>
      </c>
      <c r="K19" s="12">
        <f>J19/(1+$B$5)</f>
        <v/>
      </c>
      <c r="L19" s="12">
        <f>J19*I19/1000</f>
        <v/>
      </c>
      <c r="M19" s="12">
        <f>C19*L19</f>
        <v/>
      </c>
      <c r="N19" s="8" t="inlineStr">
        <is>
          <t>Новосибирск</t>
        </is>
      </c>
      <c r="O19" s="10" t="n">
        <v>61590</v>
      </c>
      <c r="P19" s="12">
        <f>O19/(1+$B$4)*$B$3*(1+$B$5)</f>
        <v/>
      </c>
      <c r="Q19" s="8" t="inlineStr">
        <is>
          <t>sortovojprokat.xls:83:A · 2026-10-29</t>
        </is>
      </c>
      <c r="R19" s="8" t="inlineStr">
        <is>
          <t>Толщина не указана — взят 40×40×4</t>
        </is>
      </c>
    </row>
    <row r="20">
      <c r="A20" s="15" t="n"/>
      <c r="B20" s="15" t="inlineStr">
        <is>
          <t>↳ вариант</t>
        </is>
      </c>
      <c r="C20" s="15" t="n"/>
      <c r="D20" s="15" t="n"/>
      <c r="E20" s="15" t="inlineStr">
        <is>
          <t>УГОЛОК | 40x40 | толщина 3</t>
        </is>
      </c>
      <c r="F20" s="22" t="inlineStr">
        <is>
          <t>уточнить</t>
        </is>
      </c>
      <c r="G20" s="15" t="inlineStr">
        <is>
          <t>Москва</t>
        </is>
      </c>
      <c r="H20" s="17" t="n">
        <v>94990</v>
      </c>
      <c r="I20" s="23" t="n">
        <v>1.85</v>
      </c>
      <c r="J20" s="19">
        <f>H20/(1+$B$4)*$B$3*(1+$B$5)</f>
        <v/>
      </c>
      <c r="K20" s="19">
        <f>J20/(1+$B$5)</f>
        <v/>
      </c>
      <c r="L20" s="19">
        <f>J20*I20/1000</f>
        <v/>
      </c>
      <c r="M20" s="20" t="n"/>
      <c r="N20" s="15" t="inlineStr">
        <is>
          <t>Новосибирск</t>
        </is>
      </c>
      <c r="O20" s="17" t="n">
        <v>80090</v>
      </c>
      <c r="P20" s="19">
        <f>O20/(1+$B$4)*$B$3*(1+$B$5)</f>
        <v/>
      </c>
      <c r="Q20" s="15" t="inlineStr">
        <is>
          <t>sortovojprokat.xls:82:A · 2026-10-29</t>
        </is>
      </c>
      <c r="R20" s="15" t="inlineStr">
        <is>
          <t>Вариант 40×40×3</t>
        </is>
      </c>
    </row>
    <row r="21">
      <c r="A21" s="8" t="n">
        <v>9</v>
      </c>
      <c r="B21" s="8" t="inlineStr">
        <is>
          <t>Арматура диам 16</t>
        </is>
      </c>
      <c r="C21" s="8" t="n">
        <v>90</v>
      </c>
      <c r="D21" s="8" t="inlineStr">
        <is>
          <t>м</t>
        </is>
      </c>
      <c r="E21" s="8" t="inlineStr">
        <is>
          <t>АРМАТУРА | кл А3 А400;500 | диаметр 16</t>
        </is>
      </c>
      <c r="F21" s="13" t="inlineStr">
        <is>
          <t>точно</t>
        </is>
      </c>
      <c r="G21" s="8" t="inlineStr">
        <is>
          <t>Москва</t>
        </is>
      </c>
      <c r="H21" s="10" t="n">
        <v>50490</v>
      </c>
      <c r="I21" s="11" t="n">
        <v>1.578</v>
      </c>
      <c r="J21" s="12">
        <f>H21/(1+$B$4)*$B$3*(1+$B$5)</f>
        <v/>
      </c>
      <c r="K21" s="12">
        <f>J21/(1+$B$5)</f>
        <v/>
      </c>
      <c r="L21" s="12">
        <f>J21*I21/1000</f>
        <v/>
      </c>
      <c r="M21" s="12">
        <f>C21*L21</f>
        <v/>
      </c>
      <c r="N21" s="8" t="inlineStr">
        <is>
          <t>Москва</t>
        </is>
      </c>
      <c r="O21" s="10" t="n">
        <v>50490</v>
      </c>
      <c r="P21" s="12">
        <f>O21/(1+$B$4)*$B$3*(1+$B$5)</f>
        <v/>
      </c>
      <c r="Q21" s="8" t="inlineStr">
        <is>
          <t>sortovojprokat.xls:63:A · 2026-10-29</t>
        </is>
      </c>
      <c r="R21" s="8" t="inlineStr">
        <is>
          <t>Класс не указан — взята А500С (А3)</t>
        </is>
      </c>
    </row>
    <row r="22">
      <c r="A22" s="8" t="n">
        <v>10</v>
      </c>
      <c r="B22" s="8" t="inlineStr">
        <is>
          <t>Швеллер горячекатанный 300*60*5</t>
        </is>
      </c>
      <c r="C22" s="8" t="n">
        <v>24</v>
      </c>
      <c r="D22" s="8" t="inlineStr">
        <is>
          <t>м</t>
        </is>
      </c>
      <c r="E22" s="8" t="inlineStr">
        <is>
          <t>ШВЕЛЛЕР | 30 | Хар-ка</t>
        </is>
      </c>
      <c r="F22" s="9" t="inlineStr">
        <is>
          <t>аналог</t>
        </is>
      </c>
      <c r="G22" s="8" t="inlineStr">
        <is>
          <t>Москва</t>
        </is>
      </c>
      <c r="H22" s="10" t="n">
        <v>132990</v>
      </c>
      <c r="I22" s="11" t="n">
        <v>31.8</v>
      </c>
      <c r="J22" s="12">
        <f>H22/(1+$B$4)*$B$3*(1+$B$5)</f>
        <v/>
      </c>
      <c r="K22" s="12">
        <f>J22/(1+$B$5)</f>
        <v/>
      </c>
      <c r="L22" s="12">
        <f>J22*I22/1000</f>
        <v/>
      </c>
      <c r="M22" s="12">
        <f>C22*L22</f>
        <v/>
      </c>
      <c r="N22" s="8" t="inlineStr">
        <is>
          <t>Москва</t>
        </is>
      </c>
      <c r="O22" s="10" t="n">
        <v>132990</v>
      </c>
      <c r="P22" s="12">
        <f>O22/(1+$B$4)*$B$3*(1+$B$5)</f>
        <v/>
      </c>
      <c r="Q22" s="8" t="inlineStr">
        <is>
          <t>sortovojprokat.xls:160:F · 2026-10-29</t>
        </is>
      </c>
      <c r="R22" s="8" t="inlineStr">
        <is>
          <t>Г/к швеллера 300×60 не бывает; №30 (ГОСТ 8240) — 300×100</t>
        </is>
      </c>
    </row>
    <row r="23">
      <c r="A23" s="15" t="n"/>
      <c r="B23" s="15" t="inlineStr">
        <is>
          <t>↳ вариант</t>
        </is>
      </c>
      <c r="C23" s="15" t="n"/>
      <c r="D23" s="15" t="n"/>
      <c r="E23" s="15" t="inlineStr">
        <is>
          <t>ШВЕЛЛЕР ГНУТЫЙ | 300x100 | толщина 6</t>
        </is>
      </c>
      <c r="F23" s="16" t="inlineStr">
        <is>
          <t>аналог</t>
        </is>
      </c>
      <c r="G23" s="15" t="inlineStr">
        <is>
          <t>Москва</t>
        </is>
      </c>
      <c r="H23" s="17" t="n">
        <v>93500</v>
      </c>
      <c r="I23" s="23" t="n">
        <v>22.985</v>
      </c>
      <c r="J23" s="19">
        <f>H23/(1+$B$4)*$B$3*(1+$B$5)</f>
        <v/>
      </c>
      <c r="K23" s="19">
        <f>J23/(1+$B$5)</f>
        <v/>
      </c>
      <c r="L23" s="19">
        <f>J23*I23/1000</f>
        <v/>
      </c>
      <c r="M23" s="20" t="n"/>
      <c r="N23" s="15" t="inlineStr">
        <is>
          <t>Москва</t>
        </is>
      </c>
      <c r="O23" s="17" t="n">
        <v>93500</v>
      </c>
      <c r="P23" s="19">
        <f>O23/(1+$B$4)*$B$3*(1+$B$5)</f>
        <v/>
      </c>
      <c r="Q23" s="15" t="inlineStr">
        <is>
          <t>sortovojprokat.xls:309:A · 2026-10-29</t>
        </is>
      </c>
      <c r="R23" s="15" t="inlineStr">
        <is>
          <t>Гнутого 300×60×5 нет; ближайший гнутый 300×100×6 Цена за теоретический вес.</t>
        </is>
      </c>
    </row>
    <row r="24">
      <c r="A24" s="8" t="n">
        <v>11</v>
      </c>
      <c r="B24" s="8" t="inlineStr">
        <is>
          <t>Лебёдка с редуктором 500 кг, канат 30 м, 380 В, TOR</t>
        </is>
      </c>
      <c r="C24" s="8" t="n">
        <v>1</v>
      </c>
      <c r="D24" s="8" t="inlineStr">
        <is>
          <t>шт</t>
        </is>
      </c>
      <c r="E24" s="24" t="n"/>
      <c r="F24" s="25" t="inlineStr">
        <is>
          <t>нет в каталоге</t>
        </is>
      </c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8" t="inlineStr">
        <is>
          <t>Не металлопрокат — в прайсе «Металл Сервис» нет</t>
        </is>
      </c>
    </row>
    <row r="25">
      <c r="A25" s="8" t="n">
        <v>12</v>
      </c>
      <c r="B25" s="8" t="inlineStr">
        <is>
          <t>Блок монтажный опорный TOR 5 т</t>
        </is>
      </c>
      <c r="C25" s="8" t="n">
        <v>1</v>
      </c>
      <c r="D25" s="8" t="inlineStr">
        <is>
          <t>шт</t>
        </is>
      </c>
      <c r="E25" s="24" t="n"/>
      <c r="F25" s="25" t="inlineStr">
        <is>
          <t>нет в каталоге</t>
        </is>
      </c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8" t="inlineStr">
        <is>
          <t>Не металлопрокат — в прайсе «Металл Сервис» нет</t>
        </is>
      </c>
    </row>
    <row r="26">
      <c r="A26" s="8" t="n">
        <v>13</v>
      </c>
      <c r="B26" s="8" t="inlineStr">
        <is>
          <t>Труба диам 400 мм, стенка 8–10 мм</t>
        </is>
      </c>
      <c r="C26" s="8" t="n">
        <v>24</v>
      </c>
      <c r="D26" s="8" t="inlineStr">
        <is>
          <t>шт</t>
        </is>
      </c>
      <c r="E26" s="8" t="inlineStr">
        <is>
          <t>ТРУБЫ ЭЛЕКТРОСВАРНЫЕ | 426 фаска снята | стенка 8</t>
        </is>
      </c>
      <c r="F26" s="9" t="inlineStr">
        <is>
          <t>аналог</t>
        </is>
      </c>
      <c r="G26" s="8" t="inlineStr">
        <is>
          <t>Москва</t>
        </is>
      </c>
      <c r="H26" s="10" t="n">
        <v>64590</v>
      </c>
      <c r="I26" s="11" t="n">
        <v>82.468</v>
      </c>
      <c r="J26" s="12">
        <f>H26/(1+$B$4)*$B$3*(1+$B$5)</f>
        <v/>
      </c>
      <c r="K26" s="12">
        <f>J26/(1+$B$5)</f>
        <v/>
      </c>
      <c r="L26" s="12">
        <f>J26*I26/1000</f>
        <v/>
      </c>
      <c r="M26" s="24" t="n"/>
      <c r="N26" s="8" t="inlineStr">
        <is>
          <t>Москва</t>
        </is>
      </c>
      <c r="O26" s="10" t="n">
        <v>64590</v>
      </c>
      <c r="P26" s="12">
        <f>O26/(1+$B$4)*$B$3*(1+$B$5)</f>
        <v/>
      </c>
      <c r="Q26" s="8" t="inlineStr">
        <is>
          <t>truby.xls:886:A · 2026-10-29</t>
        </is>
      </c>
      <c r="R26" s="8" t="inlineStr">
        <is>
          <t>Ø400 нет; стандартный размер — 426. Длина трубы не указана → сумма не посчитана Цена за теоретический вес.</t>
        </is>
      </c>
    </row>
    <row r="27">
      <c r="A27" s="15" t="n"/>
      <c r="B27" s="15" t="inlineStr">
        <is>
          <t>↳ вариант</t>
        </is>
      </c>
      <c r="C27" s="15" t="n"/>
      <c r="D27" s="15" t="n"/>
      <c r="E27" s="15" t="inlineStr">
        <is>
          <t>ТРУБЫ ЭЛЕКТРОСВАРНЫЕ | 426 фаска снята 100% гидроиспытания | стенка 10</t>
        </is>
      </c>
      <c r="F27" s="16" t="inlineStr">
        <is>
          <t>аналог</t>
        </is>
      </c>
      <c r="G27" s="15" t="inlineStr">
        <is>
          <t>Москва</t>
        </is>
      </c>
      <c r="H27" s="17" t="n">
        <v>64590</v>
      </c>
      <c r="I27" s="23" t="n">
        <v>102.592</v>
      </c>
      <c r="J27" s="19">
        <f>H27/(1+$B$4)*$B$3*(1+$B$5)</f>
        <v/>
      </c>
      <c r="K27" s="19">
        <f>J27/(1+$B$5)</f>
        <v/>
      </c>
      <c r="L27" s="19">
        <f>J27*I27/1000</f>
        <v/>
      </c>
      <c r="M27" s="20" t="n"/>
      <c r="N27" s="15" t="inlineStr">
        <is>
          <t>Москва</t>
        </is>
      </c>
      <c r="O27" s="17" t="n">
        <v>64590</v>
      </c>
      <c r="P27" s="19">
        <f>O27/(1+$B$4)*$B$3*(1+$B$5)</f>
        <v/>
      </c>
      <c r="Q27" s="15" t="inlineStr">
        <is>
          <t>truby.xls:918:A · 2026-10-29</t>
        </is>
      </c>
      <c r="R27" s="15" t="inlineStr">
        <is>
          <t>Вариант со стенкой 10 мм Цена за теоретический вес.</t>
        </is>
      </c>
    </row>
    <row r="28">
      <c r="L28" s="26" t="inlineStr">
        <is>
          <t>Итого (по первым вариантам):</t>
        </is>
      </c>
      <c r="M28" s="27">
        <f>M10+M11+M12+M13+M15+M16+M17+M19+M21+M22</f>
        <v/>
      </c>
    </row>
    <row r="29"/>
    <row r="30">
      <c r="A30" s="28" t="inlineStr">
        <is>
          <t>Соответствие: «точно» — та же позиция; «аналог» — точной нет, предложена ближайшая; «уточнить» — в заявке не хватает данных, взят наиболее вероятный вариант. Серые строки — варианты.</t>
        </is>
      </c>
    </row>
    <row r="31">
      <c r="A31" s="28" t="inlineStr">
        <is>
          <t>«Дешевле всего» — минимум по складам Москва/Екатеринбург/Челябинск/Пермь/Новосибирск/Омск без учёта доставки.</t>
        </is>
      </c>
    </row>
  </sheetData>
  <mergeCells count="1">
    <mergeCell ref="A7:L7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2026-10-29T12:13:25Z</dcterms:created>
  <dcterms:modified xmlns:dcterms="http://purl.org/dc/terms/" xmlns:xsi="http://www.w3.org/2001/XMLSchema-instance" xsi:type="dcterms:W3CDTF">2026-10-29T12:13:26Z</dcterms:modified>
</cp:coreProperties>
</file>