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color rgb="000000FF"/>
    </font>
    <font>
      <name val="Arial"/>
      <i val="1"/>
      <color rgb="00808080"/>
    </font>
    <font>
      <name val="Arial"/>
      <i val="1"/>
    </font>
    <font>
      <name val="Arial"/>
      <b val="1"/>
      <color rgb="00FFFFFF"/>
    </font>
    <font>
      <name val="Arial"/>
      <b val="1"/>
      <color rgb="00007A33"/>
    </font>
    <font>
      <name val="Arial"/>
      <b val="1"/>
    </font>
    <font>
      <name val="Arial"/>
      <color theme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3" fillId="2" borderId="0" pivotButton="0" quotePrefix="0" xfId="0"/>
    <xf numFmtId="0" fontId="4" fillId="0" borderId="0" pivotButton="0" quotePrefix="0" xfId="0"/>
    <xf numFmtId="9" fontId="3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0" fontId="8" fillId="0" borderId="0" pivotButton="0" quotePrefix="0" xfId="0"/>
    <xf numFmtId="164" fontId="8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metal-catalog</author>
  </authors>
  <commentList>
    <comment ref="H10" authorId="0" shapeId="0">
      <text>
        <t>теор.т — теоретическая тонна; прайс 2026-10-29</t>
      </text>
    </comment>
    <comment ref="H11" authorId="0" shapeId="0">
      <text>
        <t>т — тонна; прайс 2026-10-29</t>
      </text>
    </comment>
    <comment ref="H12" authorId="0" shapeId="0">
      <text>
        <t>теор.т — теоретическая тонна; прайс 2026-10-29</t>
      </text>
    </comment>
    <comment ref="H13" authorId="0" shapeId="0">
      <text>
        <t>теор.т — теоретическая тонна; прайс 2026-10-29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7" customWidth="1" min="3" max="3"/>
    <col width="5" customWidth="1" min="4" max="4"/>
    <col width="42" customWidth="1" min="5" max="5"/>
    <col width="12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6" customWidth="1" min="17" max="17"/>
    <col width="48" customWidth="1" min="18" max="18"/>
  </cols>
  <sheetData>
    <row r="1">
      <c r="A1" s="1" t="inlineStr">
        <is>
          <t>Заявка 2 — расчёт (внутренний)</t>
        </is>
      </c>
    </row>
    <row r="2"/>
    <row r="3">
      <c r="A3" s="2" t="inlineStr">
        <is>
          <t>Курс ₸ за 1 ₽</t>
        </is>
      </c>
      <c r="B3" s="3" t="n">
        <v>5.67</v>
      </c>
      <c r="C3" s="4" t="inlineStr">
        <is>
          <t>Официальный курс НБ РК на 29.10.2026 (scripts/rate.py). Реальный курс оплаты может отличаться</t>
        </is>
      </c>
    </row>
    <row r="4">
      <c r="A4" s="2" t="inlineStr">
        <is>
          <t>НДС РФ в цене поставщика</t>
        </is>
      </c>
      <c r="B4" s="5" t="n">
        <v>0.22</v>
      </c>
      <c r="C4" s="4" t="inlineStr">
        <is>
          <t>Цены «Металл Сервис» — с НДС РФ 22% (с 01.01.2026)</t>
        </is>
      </c>
    </row>
    <row r="5">
      <c r="A5" s="2" t="inlineStr">
        <is>
          <t>НДС РК</t>
        </is>
      </c>
      <c r="B5" s="5" t="n">
        <v>0.16</v>
      </c>
      <c r="C5" s="4" t="inlineStr">
        <is>
          <t>Налоговый кодекс РК, с 01.01.2026</t>
        </is>
      </c>
    </row>
    <row r="6"/>
    <row r="7" ht="32" customHeight="1">
      <c r="A7" s="6" t="inlineStr">
        <is>
          <t>Цены из прайса «Металл Сервис» от 29.10.2026, без доставки. ₸/т с НДС РК = ₽/т ÷ (1 + НДС РФ) × курс × (1 + НДС РК). Вес теоретический (факт ±3–8%). Синие ячейки на жёлтом — можно менять, остальное пересчитается.</t>
        </is>
      </c>
    </row>
    <row r="8"/>
    <row r="9" ht="45" customHeight="1">
      <c r="A9" s="7" t="inlineStr">
        <is>
          <t>№</t>
        </is>
      </c>
      <c r="B9" s="7" t="inlineStr">
        <is>
          <t>Позиция из заявки</t>
        </is>
      </c>
      <c r="C9" s="7" t="inlineStr">
        <is>
          <t>Кол-во</t>
        </is>
      </c>
      <c r="D9" s="7" t="inlineStr">
        <is>
          <t>Ед.</t>
        </is>
      </c>
      <c r="E9" s="7" t="inlineStr">
        <is>
          <t>Что нашли в каталоге</t>
        </is>
      </c>
      <c r="F9" s="7" t="inlineStr">
        <is>
          <t>Соответствие</t>
        </is>
      </c>
      <c r="G9" s="7" t="inlineStr">
        <is>
          <t>Склад</t>
        </is>
      </c>
      <c r="H9" s="7" t="inlineStr">
        <is>
          <t>Цена, ₽/т
(с НДС РФ 22%)</t>
        </is>
      </c>
      <c r="I9" s="7" t="inlineStr">
        <is>
          <t>Масса,
кг/м (кг/м²)</t>
        </is>
      </c>
      <c r="J9" s="7" t="inlineStr">
        <is>
          <t>Цена, ₸/т
с НДС 16%</t>
        </is>
      </c>
      <c r="K9" s="7" t="inlineStr">
        <is>
          <t>Цена, ₸/т
без НДС</t>
        </is>
      </c>
      <c r="L9" s="7" t="inlineStr">
        <is>
          <t>Цена, ₸ за м (м²)
с НДС 16%</t>
        </is>
      </c>
      <c r="M9" s="7" t="inlineStr">
        <is>
          <t>Сумма, ₸
с НДС 16%</t>
        </is>
      </c>
      <c r="N9" s="7" t="inlineStr">
        <is>
          <t>Дешевле всего:
склад</t>
        </is>
      </c>
      <c r="O9" s="7" t="inlineStr">
        <is>
          <t>₽/т на том
складе</t>
        </is>
      </c>
      <c r="P9" s="7" t="inlineStr">
        <is>
          <t>₸/т с НДС 16%
на том складе</t>
        </is>
      </c>
      <c r="Q9" s="7" t="inlineStr">
        <is>
          <t>Источник
(файл:строка)</t>
        </is>
      </c>
      <c r="R9" s="7" t="inlineStr">
        <is>
          <t>Примечание</t>
        </is>
      </c>
    </row>
    <row r="10">
      <c r="A10" s="8" t="n">
        <v>1</v>
      </c>
      <c r="B10" s="8" t="inlineStr">
        <is>
          <t>Труба стальная Ø219*6 ГОСТ 10704-91</t>
        </is>
      </c>
      <c r="C10" s="8" t="n">
        <v>24</v>
      </c>
      <c r="D10" s="8" t="inlineStr">
        <is>
          <t>п/м</t>
        </is>
      </c>
      <c r="E10" s="8" t="inlineStr">
        <is>
          <t>ТРУБЫ ЭЛЕКТРОСВАРНЫЕ | 219 | стенка 6</t>
        </is>
      </c>
      <c r="F10" s="9" t="inlineStr">
        <is>
          <t>точно</t>
        </is>
      </c>
      <c r="G10" s="8" t="inlineStr">
        <is>
          <t>Москва</t>
        </is>
      </c>
      <c r="H10" s="10" t="n">
        <v>58590</v>
      </c>
      <c r="I10" s="11" t="n">
        <v>31.517</v>
      </c>
      <c r="J10" s="12">
        <f>H10/(1+$B$4)*$B$3*(1+$B$5)</f>
        <v/>
      </c>
      <c r="K10" s="12">
        <f>J10/(1+$B$5)</f>
        <v/>
      </c>
      <c r="L10" s="12">
        <f>J10*I10/1000</f>
        <v/>
      </c>
      <c r="M10" s="12">
        <f>C10*L10</f>
        <v/>
      </c>
      <c r="N10" s="8" t="inlineStr">
        <is>
          <t>Новосибирск</t>
        </is>
      </c>
      <c r="O10" s="10" t="n">
        <v>57090</v>
      </c>
      <c r="P10" s="12">
        <f>O10/(1+$B$4)*$B$3*(1+$B$5)</f>
        <v/>
      </c>
      <c r="Q10" s="8" t="inlineStr">
        <is>
          <t>truby.xls:735:A · 2026-10-29</t>
        </is>
      </c>
      <c r="R10" s="8" t="inlineStr">
        <is>
          <t>Цена за теоретический вес.</t>
        </is>
      </c>
    </row>
    <row r="11">
      <c r="A11" s="8" t="n">
        <v>2</v>
      </c>
      <c r="B11" s="8" t="inlineStr">
        <is>
          <t>Сталь угловая ГОСТ 8509-93 50*50*4</t>
        </is>
      </c>
      <c r="C11" s="8" t="n">
        <v>36</v>
      </c>
      <c r="D11" s="8" t="inlineStr">
        <is>
          <t>п/м</t>
        </is>
      </c>
      <c r="E11" s="8" t="inlineStr">
        <is>
          <t>УГОЛОК | 50x50 | толщина 4</t>
        </is>
      </c>
      <c r="F11" s="9" t="inlineStr">
        <is>
          <t>точно</t>
        </is>
      </c>
      <c r="G11" s="8" t="inlineStr">
        <is>
          <t>Москва</t>
        </is>
      </c>
      <c r="H11" s="10" t="n">
        <v>67490</v>
      </c>
      <c r="I11" s="11" t="n">
        <v>3.05</v>
      </c>
      <c r="J11" s="12">
        <f>H11/(1+$B$4)*$B$3*(1+$B$5)</f>
        <v/>
      </c>
      <c r="K11" s="12">
        <f>J11/(1+$B$5)</f>
        <v/>
      </c>
      <c r="L11" s="12">
        <f>J11*I11/1000</f>
        <v/>
      </c>
      <c r="M11" s="12">
        <f>C11*L11</f>
        <v/>
      </c>
      <c r="N11" s="8" t="inlineStr">
        <is>
          <t>Москва</t>
        </is>
      </c>
      <c r="O11" s="10" t="n">
        <v>67490</v>
      </c>
      <c r="P11" s="12">
        <f>O11/(1+$B$4)*$B$3*(1+$B$5)</f>
        <v/>
      </c>
      <c r="Q11" s="8" t="inlineStr">
        <is>
          <t>sortovojprokat.xls:90:A · 2026-10-29</t>
        </is>
      </c>
      <c r="R11" s="8" t="inlineStr"/>
    </row>
    <row r="12">
      <c r="A12" s="8" t="n">
        <v>3</v>
      </c>
      <c r="B12" s="8" t="inlineStr">
        <is>
          <t>Профильная труба ГОСТ 30245-2003/13663-86 100*100*3</t>
        </is>
      </c>
      <c r="C12" s="8" t="n">
        <v>24</v>
      </c>
      <c r="D12" s="8" t="inlineStr">
        <is>
          <t>п/м</t>
        </is>
      </c>
      <c r="E12" s="8" t="inlineStr">
        <is>
          <t>ТРУБЫ ЭЛЕКТРОСВАРНЫЕ КВАДРАТ | 100 | стенка 3</t>
        </is>
      </c>
      <c r="F12" s="9" t="inlineStr">
        <is>
          <t>точно</t>
        </is>
      </c>
      <c r="G12" s="8" t="inlineStr">
        <is>
          <t>Москва</t>
        </is>
      </c>
      <c r="H12" s="10" t="n">
        <v>54090</v>
      </c>
      <c r="I12" s="11" t="n">
        <v>9.016</v>
      </c>
      <c r="J12" s="12">
        <f>H12/(1+$B$4)*$B$3*(1+$B$5)</f>
        <v/>
      </c>
      <c r="K12" s="12">
        <f>J12/(1+$B$5)</f>
        <v/>
      </c>
      <c r="L12" s="12">
        <f>J12*I12/1000</f>
        <v/>
      </c>
      <c r="M12" s="12">
        <f>C12*L12</f>
        <v/>
      </c>
      <c r="N12" s="8" t="inlineStr">
        <is>
          <t>Москва</t>
        </is>
      </c>
      <c r="O12" s="10" t="n">
        <v>54090</v>
      </c>
      <c r="P12" s="12">
        <f>O12/(1+$B$4)*$B$3*(1+$B$5)</f>
        <v/>
      </c>
      <c r="Q12" s="8" t="inlineStr">
        <is>
          <t>truby.xls:1268:F · 2026-10-29</t>
        </is>
      </c>
      <c r="R12" s="8" t="inlineStr">
        <is>
          <t>Цена за теоретический вес.</t>
        </is>
      </c>
    </row>
    <row r="13">
      <c r="A13" s="8" t="n">
        <v>4</v>
      </c>
      <c r="B13" s="8" t="inlineStr">
        <is>
          <t>Труба стальная Ø76*3 ГОСТ 10704-91</t>
        </is>
      </c>
      <c r="C13" s="8" t="n">
        <v>12</v>
      </c>
      <c r="D13" s="8" t="inlineStr">
        <is>
          <t>п/м</t>
        </is>
      </c>
      <c r="E13" s="8" t="inlineStr">
        <is>
          <t>ТРУБЫ ЭЛЕКТРОСВАРНЫЕ | 76 | стенка 3</t>
        </is>
      </c>
      <c r="F13" s="9" t="inlineStr">
        <is>
          <t>точно</t>
        </is>
      </c>
      <c r="G13" s="8" t="inlineStr">
        <is>
          <t>Москва</t>
        </is>
      </c>
      <c r="H13" s="10" t="n">
        <v>52090</v>
      </c>
      <c r="I13" s="11" t="n">
        <v>5.401</v>
      </c>
      <c r="J13" s="12">
        <f>H13/(1+$B$4)*$B$3*(1+$B$5)</f>
        <v/>
      </c>
      <c r="K13" s="12">
        <f>J13/(1+$B$5)</f>
        <v/>
      </c>
      <c r="L13" s="12">
        <f>J13*I13/1000</f>
        <v/>
      </c>
      <c r="M13" s="12">
        <f>C13*L13</f>
        <v/>
      </c>
      <c r="N13" s="8" t="inlineStr">
        <is>
          <t>Москва</t>
        </is>
      </c>
      <c r="O13" s="10" t="n">
        <v>52090</v>
      </c>
      <c r="P13" s="12">
        <f>O13/(1+$B$4)*$B$3*(1+$B$5)</f>
        <v/>
      </c>
      <c r="Q13" s="8" t="inlineStr">
        <is>
          <t>truby.xls:500:F · 2026-10-29</t>
        </is>
      </c>
      <c r="R13" s="8" t="inlineStr">
        <is>
          <t>Цена за теоретический вес.</t>
        </is>
      </c>
    </row>
    <row r="14">
      <c r="L14" s="13" t="inlineStr">
        <is>
          <t>Итого (по первым вариантам):</t>
        </is>
      </c>
      <c r="M14" s="14">
        <f>M10+M11+M12+M13</f>
        <v/>
      </c>
    </row>
    <row r="15"/>
    <row r="16">
      <c r="A16" s="15" t="inlineStr">
        <is>
          <t>Соответствие: «точно» — та же позиция; «аналог» — точной нет, предложена ближайшая; «уточнить» — в заявке не хватает данных, взят наиболее вероятный вариант. Серые строки — варианты.</t>
        </is>
      </c>
    </row>
    <row r="17">
      <c r="A17" s="15" t="inlineStr">
        <is>
          <t>«Дешевле всего» — минимум по складам Москва/Екатеринбург/Челябинск/Пермь/Новосибирск/Омск без учёта доставки.</t>
        </is>
      </c>
    </row>
  </sheetData>
  <mergeCells count="1">
    <mergeCell ref="A7:L7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2026-10-29T12:13:25Z</dcterms:created>
  <dcterms:modified xmlns:dcterms="http://purl.org/dc/terms/" xmlns:xsi="http://www.w3.org/2001/XMLSchema-instance" xsi:type="dcterms:W3CDTF">2026-10-29T12:13:25Z</dcterms:modified>
</cp:coreProperties>
</file>