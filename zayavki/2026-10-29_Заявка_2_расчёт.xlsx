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чё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" authorId="0">
      <text>
        <r>
          <rPr>
            <sz val="10"/>
            <rFont val="Arial"/>
            <family val="2"/>
          </rPr>
          <t xml:space="preserve">теор.т — теоретическая тонна; прайс 2026-10-29</t>
        </r>
      </text>
    </comment>
    <comment ref="H11" authorId="0">
      <text>
        <r>
          <rPr>
            <sz val="10"/>
            <rFont val="Arial"/>
            <family val="2"/>
          </rPr>
          <t xml:space="preserve">т — тонна; прайс 2026-10-29</t>
        </r>
      </text>
    </comment>
    <comment ref="H12" authorId="0">
      <text>
        <r>
          <rPr>
            <sz val="10"/>
            <rFont val="Arial"/>
            <family val="2"/>
          </rPr>
          <t xml:space="preserve">теор.т — теоретическая тонна; прайс 2026-10-29</t>
        </r>
      </text>
    </comment>
    <comment ref="H13" authorId="0">
      <text>
        <r>
          <rPr>
            <sz val="10"/>
            <rFont val="Arial"/>
            <family val="2"/>
          </rPr>
          <t xml:space="preserve">теор.т — теоретическая тонна; прайс 2026-10-29</t>
        </r>
      </text>
    </comment>
  </commentList>
</comments>
</file>

<file path=xl/sharedStrings.xml><?xml version="1.0" encoding="utf-8"?>
<sst xmlns="http://schemas.openxmlformats.org/spreadsheetml/2006/main" count="60" uniqueCount="46">
  <si>
    <t xml:space="preserve">Заявка 2 — расчёт (внутренний)</t>
  </si>
  <si>
    <t xml:space="preserve">Курс ₸ за 1 ₽</t>
  </si>
  <si>
    <t xml:space="preserve">Официальный курс НБ РК на 29.10.2026 (scripts/rate.py). Реальный курс оплаты может отличаться</t>
  </si>
  <si>
    <t xml:space="preserve">НДС РФ в цене поставщика</t>
  </si>
  <si>
    <t xml:space="preserve">Цены «Металл Сервис» — с НДС РФ 22% (с 01.01.2026)</t>
  </si>
  <si>
    <t xml:space="preserve">НДС РК</t>
  </si>
  <si>
    <t xml:space="preserve">Налоговый кодекс РК, с 01.01.2026</t>
  </si>
  <si>
    <t xml:space="preserve">Цены из прайса «Металл Сервис» от 29.10.2026, без доставки. ₸/т с НДС РК = ₽/т ÷ (1 + НДС РФ) × курс × (1 + НДС РК). Вес теоретический (факт ±3–8%). Синие ячейки на жёлтом — можно менять, остальное пересчитается.</t>
  </si>
  <si>
    <t xml:space="preserve">№</t>
  </si>
  <si>
    <t xml:space="preserve">Позиция из заявки</t>
  </si>
  <si>
    <t xml:space="preserve">Кол-во</t>
  </si>
  <si>
    <t xml:space="preserve">Ед.</t>
  </si>
  <si>
    <t xml:space="preserve">Что нашли в каталоге</t>
  </si>
  <si>
    <t xml:space="preserve">Соответствие</t>
  </si>
  <si>
    <t xml:space="preserve">Склад</t>
  </si>
  <si>
    <t xml:space="preserve">Цена, ₽/т
(с НДС РФ 22%)</t>
  </si>
  <si>
    <t xml:space="preserve">Масса,
кг/м (кг/м²)</t>
  </si>
  <si>
    <t xml:space="preserve">Цена, ₸/т
с НДС 16%</t>
  </si>
  <si>
    <t xml:space="preserve">Цена, ₸/т
без НДС</t>
  </si>
  <si>
    <t xml:space="preserve">Цена, ₸ за м (м²)
с НДС 16%</t>
  </si>
  <si>
    <t xml:space="preserve">Сумма, ₸
с НДС 16%</t>
  </si>
  <si>
    <t xml:space="preserve">Дешевле всего:
склад</t>
  </si>
  <si>
    <t xml:space="preserve">₽/т на том
складе</t>
  </si>
  <si>
    <t xml:space="preserve">₸/т с НДС 16%
на том складе</t>
  </si>
  <si>
    <t xml:space="preserve">Источник
(файл:строка)</t>
  </si>
  <si>
    <t xml:space="preserve">Примечание</t>
  </si>
  <si>
    <t xml:space="preserve">Труба стальная Ø219*6 ГОСТ 10704-91</t>
  </si>
  <si>
    <t xml:space="preserve">п/м</t>
  </si>
  <si>
    <t xml:space="preserve">ТРУБЫ ЭЛЕКТРОСВАРНЫЕ | 219 | стенка 6</t>
  </si>
  <si>
    <t xml:space="preserve">точно</t>
  </si>
  <si>
    <t xml:space="preserve">Москва</t>
  </si>
  <si>
    <t xml:space="preserve">Новосибирск</t>
  </si>
  <si>
    <t xml:space="preserve">truby.xls:735:A · 2026-10-29</t>
  </si>
  <si>
    <t xml:space="preserve">Цена за теоретический вес.</t>
  </si>
  <si>
    <t xml:space="preserve">Сталь угловая ГОСТ 8509-93 50*50*4</t>
  </si>
  <si>
    <t xml:space="preserve">УГОЛОК | 50x50 | толщина 4</t>
  </si>
  <si>
    <t xml:space="preserve">sortovojprokat.xls:90:A · 2026-10-29</t>
  </si>
  <si>
    <t xml:space="preserve">Профильная труба ГОСТ 30245-2003/13663-86 100*100*3</t>
  </si>
  <si>
    <t xml:space="preserve">ТРУБЫ ЭЛЕКТРОСВАРНЫЕ КВАДРАТ | 100 | стенка 3</t>
  </si>
  <si>
    <t xml:space="preserve">truby.xls:1268:F · 2026-10-29</t>
  </si>
  <si>
    <t xml:space="preserve">Труба стальная Ø76*3 ГОСТ 10704-91</t>
  </si>
  <si>
    <t xml:space="preserve">ТРУБЫ ЭЛЕКТРОСВАРНЫЕ | 76 | стенка 3</t>
  </si>
  <si>
    <t xml:space="preserve">truby.xls:500:F · 2026-10-29</t>
  </si>
  <si>
    <t xml:space="preserve">Итого (по первым вариантам):</t>
  </si>
  <si>
    <t xml:space="preserve">Соответствие: «точно» — та же позиция; «аналог» — точной нет, предложена ближайшая; «уточнить» — в заявке не хватает данных, взят наиболее вероятный вариант. Серые строки — варианты.</t>
  </si>
  <si>
    <t xml:space="preserve">«Дешевле всего» — минимум по складам Москва/Екатеринбург/Челябинск/Пермь/Новосибирск/Омск без учёта доставки.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</si>
</sst>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#,##0;\-#,##0;\-"/>
    <numFmt numFmtId="168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A3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16" min="8" style="0" width="14"/>
    <col collapsed="false" customWidth="true" hidden="false" outlineLevel="0" max="17" min="17" style="0" width="26"/>
    <col collapsed="false" customWidth="true" hidden="false" outlineLevel="0" max="18" min="18" style="0" width="4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5.67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0.22</v>
      </c>
      <c r="C4" s="4" t="s">
        <v>4</v>
      </c>
    </row>
    <row r="5" customFormat="false" ht="15" hidden="false" customHeight="false" outlineLevel="0" collapsed="false">
      <c r="A5" s="2" t="s">
        <v>5</v>
      </c>
      <c r="B5" s="5" t="n">
        <v>0.16</v>
      </c>
      <c r="C5" s="4" t="s">
        <v>6</v>
      </c>
    </row>
    <row r="7" customFormat="false" ht="31.5" hidden="false" customHeight="true" outlineLevel="0" collapsed="false">
      <c r="A7" s="6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9" customFormat="false" ht="45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7" t="s">
        <v>18</v>
      </c>
      <c r="L9" s="7" t="s">
        <v>19</v>
      </c>
      <c r="M9" s="7" t="s">
        <v>20</v>
      </c>
      <c r="N9" s="7" t="s">
        <v>21</v>
      </c>
      <c r="O9" s="7" t="s">
        <v>22</v>
      </c>
      <c r="P9" s="7" t="s">
        <v>23</v>
      </c>
      <c r="Q9" s="7" t="s">
        <v>24</v>
      </c>
      <c r="R9" s="7" t="s">
        <v>25</v>
      </c>
    </row>
    <row r="10" customFormat="false" ht="26.85" hidden="false" customHeight="false" outlineLevel="0" collapsed="false">
      <c r="A10" s="8" t="n">
        <v>1</v>
      </c>
      <c r="B10" s="8" t="s">
        <v>26</v>
      </c>
      <c r="C10" s="8" t="n">
        <v>24</v>
      </c>
      <c r="D10" s="8" t="s">
        <v>27</v>
      </c>
      <c r="E10" s="8" t="s">
        <v>28</v>
      </c>
      <c r="F10" s="9" t="s">
        <v>29</v>
      </c>
      <c r="G10" s="8" t="s">
        <v>30</v>
      </c>
      <c r="H10" s="10" t="n">
        <v>58590</v>
      </c>
      <c r="I10" s="11" t="n">
        <v>31.517</v>
      </c>
      <c r="J10" s="12" t="n">
        <f aca="false">H10/(1+$B$4)*$B$3*(1+$B$5)</f>
        <v>315867.33442623</v>
      </c>
      <c r="K10" s="12" t="n">
        <f aca="false">J10/(1+$B$5)</f>
        <v>272299.426229508</v>
      </c>
      <c r="L10" s="12" t="n">
        <f aca="false">J10*I10/1000</f>
        <v>9955.19077911148</v>
      </c>
      <c r="M10" s="12" t="n">
        <f aca="false">C10*L10</f>
        <v>238924.578698675</v>
      </c>
      <c r="N10" s="8" t="s">
        <v>31</v>
      </c>
      <c r="O10" s="10" t="n">
        <v>57090</v>
      </c>
      <c r="P10" s="12" t="n">
        <f aca="false">O10/(1+$B$4)*$B$3*(1+$B$5)</f>
        <v>307780.613114754</v>
      </c>
      <c r="Q10" s="8" t="s">
        <v>32</v>
      </c>
      <c r="R10" s="8" t="s">
        <v>33</v>
      </c>
    </row>
    <row r="11" customFormat="false" ht="26.85" hidden="false" customHeight="false" outlineLevel="0" collapsed="false">
      <c r="A11" s="8" t="n">
        <v>2</v>
      </c>
      <c r="B11" s="8" t="s">
        <v>34</v>
      </c>
      <c r="C11" s="8" t="n">
        <v>36</v>
      </c>
      <c r="D11" s="8" t="s">
        <v>27</v>
      </c>
      <c r="E11" s="8" t="s">
        <v>35</v>
      </c>
      <c r="F11" s="9" t="s">
        <v>29</v>
      </c>
      <c r="G11" s="8" t="s">
        <v>30</v>
      </c>
      <c r="H11" s="10" t="n">
        <v>67490</v>
      </c>
      <c r="I11" s="11" t="n">
        <v>3.05</v>
      </c>
      <c r="J11" s="12" t="n">
        <f aca="false">H11/(1+$B$4)*$B$3*(1+$B$5)</f>
        <v>363848.547540984</v>
      </c>
      <c r="K11" s="12" t="n">
        <f aca="false">J11/(1+$B$5)</f>
        <v>313662.540983607</v>
      </c>
      <c r="L11" s="12" t="n">
        <f aca="false">J11*I11/1000</f>
        <v>1109.73807</v>
      </c>
      <c r="M11" s="12" t="n">
        <f aca="false">C11*L11</f>
        <v>39950.57052</v>
      </c>
      <c r="N11" s="8" t="s">
        <v>30</v>
      </c>
      <c r="O11" s="10" t="n">
        <v>67490</v>
      </c>
      <c r="P11" s="12" t="n">
        <f aca="false">O11/(1+$B$4)*$B$3*(1+$B$5)</f>
        <v>363848.547540984</v>
      </c>
      <c r="Q11" s="8" t="s">
        <v>36</v>
      </c>
      <c r="R11" s="8"/>
    </row>
    <row r="12" customFormat="false" ht="26.85" hidden="false" customHeight="false" outlineLevel="0" collapsed="false">
      <c r="A12" s="8" t="n">
        <v>3</v>
      </c>
      <c r="B12" s="8" t="s">
        <v>37</v>
      </c>
      <c r="C12" s="8" t="n">
        <v>24</v>
      </c>
      <c r="D12" s="8" t="s">
        <v>27</v>
      </c>
      <c r="E12" s="8" t="s">
        <v>38</v>
      </c>
      <c r="F12" s="9" t="s">
        <v>29</v>
      </c>
      <c r="G12" s="8" t="s">
        <v>30</v>
      </c>
      <c r="H12" s="10" t="n">
        <v>54090</v>
      </c>
      <c r="I12" s="11" t="n">
        <v>9.016</v>
      </c>
      <c r="J12" s="12" t="n">
        <f aca="false">H12/(1+$B$4)*$B$3*(1+$B$5)</f>
        <v>291607.170491803</v>
      </c>
      <c r="K12" s="12" t="n">
        <f aca="false">J12/(1+$B$5)</f>
        <v>251385.491803279</v>
      </c>
      <c r="L12" s="12" t="n">
        <f aca="false">J12*I12/1000</f>
        <v>2629.1302491541</v>
      </c>
      <c r="M12" s="12" t="n">
        <f aca="false">C12*L12</f>
        <v>63099.1259796984</v>
      </c>
      <c r="N12" s="8" t="s">
        <v>30</v>
      </c>
      <c r="O12" s="10" t="n">
        <v>54090</v>
      </c>
      <c r="P12" s="12" t="n">
        <f aca="false">O12/(1+$B$4)*$B$3*(1+$B$5)</f>
        <v>291607.170491803</v>
      </c>
      <c r="Q12" s="8" t="s">
        <v>39</v>
      </c>
      <c r="R12" s="8" t="s">
        <v>33</v>
      </c>
    </row>
    <row r="13" customFormat="false" ht="26.85" hidden="false" customHeight="false" outlineLevel="0" collapsed="false">
      <c r="A13" s="8" t="n">
        <v>4</v>
      </c>
      <c r="B13" s="8" t="s">
        <v>40</v>
      </c>
      <c r="C13" s="8" t="n">
        <v>12</v>
      </c>
      <c r="D13" s="8" t="s">
        <v>27</v>
      </c>
      <c r="E13" s="8" t="s">
        <v>41</v>
      </c>
      <c r="F13" s="9" t="s">
        <v>29</v>
      </c>
      <c r="G13" s="8" t="s">
        <v>30</v>
      </c>
      <c r="H13" s="10" t="n">
        <v>52090</v>
      </c>
      <c r="I13" s="11" t="n">
        <v>5.401</v>
      </c>
      <c r="J13" s="12" t="n">
        <f aca="false">H13/(1+$B$4)*$B$3*(1+$B$5)</f>
        <v>280824.875409836</v>
      </c>
      <c r="K13" s="12" t="n">
        <f aca="false">J13/(1+$B$5)</f>
        <v>242090.409836066</v>
      </c>
      <c r="L13" s="12" t="n">
        <f aca="false">J13*I13/1000</f>
        <v>1516.73515208852</v>
      </c>
      <c r="M13" s="12" t="n">
        <f aca="false">C13*L13</f>
        <v>18200.8218250623</v>
      </c>
      <c r="N13" s="8" t="s">
        <v>30</v>
      </c>
      <c r="O13" s="10" t="n">
        <v>52090</v>
      </c>
      <c r="P13" s="12" t="n">
        <f aca="false">O13/(1+$B$4)*$B$3*(1+$B$5)</f>
        <v>280824.875409836</v>
      </c>
      <c r="Q13" s="8" t="s">
        <v>42</v>
      </c>
      <c r="R13" s="8" t="s">
        <v>33</v>
      </c>
    </row>
    <row r="14" customFormat="false" ht="15" hidden="false" customHeight="false" outlineLevel="0" collapsed="false">
      <c r="L14" s="13" t="s">
        <v>43</v>
      </c>
      <c r="M14" s="14" t="n">
        <f aca="false">M10+M11+M12+M13</f>
        <v>360175.097023436</v>
      </c>
    </row>
    <row r="16" customFormat="false" ht="15" hidden="false" customHeight="false" outlineLevel="0" collapsed="false">
      <c r="A16" s="15" t="s">
        <v>44</v>
      </c>
    </row>
    <row r="17" customFormat="false" ht="15" hidden="false" customHeight="false" outlineLevel="0" collapsed="false">
      <c r="A17" s="15" t="s">
        <v>45</v>
      </c>
    </row>
  </sheetData>
  <mergeCells count="1">
    <mergeCell ref="A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2026-10-29T12:06:22Z</dcterms:created>
  <dc:creator>openpyxl</dc:creator>
  <dc:description/>
  <dc:language>en-US</dc:language>
  <cp:lastModifiedBy/>
  <dcterms:modified xsi:type="dcterms:W3CDTF">2026-10-29T12:06:22Z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