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асчёт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0" authorId="0">
      <text>
        <r>
          <rPr>
            <sz val="10"/>
            <rFont val="Arial"/>
            <family val="2"/>
          </rPr>
          <t xml:space="preserve">т — тонна; прайс 2026-10-29</t>
        </r>
      </text>
    </comment>
    <comment ref="H11" authorId="0">
      <text>
        <r>
          <rPr>
            <sz val="10"/>
            <rFont val="Arial"/>
            <family val="2"/>
          </rPr>
          <t xml:space="preserve">т — тонна; прайс 2026-10-29</t>
        </r>
      </text>
    </comment>
    <comment ref="H12" authorId="0">
      <text>
        <r>
          <rPr>
            <sz val="10"/>
            <rFont val="Arial"/>
            <family val="2"/>
          </rPr>
          <t xml:space="preserve">т — тонна; прайс 2026-10-29</t>
        </r>
      </text>
    </comment>
    <comment ref="H13" authorId="0">
      <text>
        <r>
          <rPr>
            <sz val="10"/>
            <rFont val="Arial"/>
            <family val="2"/>
          </rPr>
          <t xml:space="preserve">т — тонна; прайс 2026-10-29</t>
        </r>
      </text>
    </comment>
    <comment ref="H14" authorId="0">
      <text>
        <r>
          <rPr>
            <sz val="10"/>
            <rFont val="Arial"/>
            <family val="2"/>
          </rPr>
          <t xml:space="preserve">т — тонна; прайс 2026-10-29</t>
        </r>
      </text>
    </comment>
    <comment ref="H15" authorId="0">
      <text>
        <r>
          <rPr>
            <sz val="10"/>
            <rFont val="Arial"/>
            <family val="2"/>
          </rPr>
          <t xml:space="preserve">т — тонна; прайс 2026-10-29</t>
        </r>
      </text>
    </comment>
    <comment ref="H16" authorId="0">
      <text>
        <r>
          <rPr>
            <sz val="10"/>
            <rFont val="Arial"/>
            <family val="2"/>
          </rPr>
          <t xml:space="preserve">т — тонна; прайс 2026-10-29</t>
        </r>
      </text>
    </comment>
    <comment ref="H17" authorId="0">
      <text>
        <r>
          <rPr>
            <sz val="10"/>
            <rFont val="Arial"/>
            <family val="2"/>
          </rPr>
          <t xml:space="preserve">т — тонна; прайс 2026-10-29</t>
        </r>
      </text>
    </comment>
    <comment ref="H18" authorId="0">
      <text>
        <r>
          <rPr>
            <sz val="10"/>
            <rFont val="Arial"/>
            <family val="2"/>
          </rPr>
          <t xml:space="preserve">т — тонна; прайс 2026-10-29</t>
        </r>
      </text>
    </comment>
    <comment ref="H19" authorId="0">
      <text>
        <r>
          <rPr>
            <sz val="10"/>
            <rFont val="Arial"/>
            <family val="2"/>
          </rPr>
          <t xml:space="preserve">т — тонна; прайс 2026-10-29</t>
        </r>
      </text>
    </comment>
    <comment ref="H20" authorId="0">
      <text>
        <r>
          <rPr>
            <sz val="10"/>
            <rFont val="Arial"/>
            <family val="2"/>
          </rPr>
          <t xml:space="preserve">т — тонна; прайс 2026-10-29</t>
        </r>
      </text>
    </comment>
    <comment ref="H21" authorId="0">
      <text>
        <r>
          <rPr>
            <sz val="10"/>
            <rFont val="Arial"/>
            <family val="2"/>
          </rPr>
          <t xml:space="preserve">т — тонна; прайс 2026-10-29</t>
        </r>
      </text>
    </comment>
    <comment ref="H22" authorId="0">
      <text>
        <r>
          <rPr>
            <sz val="10"/>
            <rFont val="Arial"/>
            <family val="2"/>
          </rPr>
          <t xml:space="preserve">теор.т — теоретическая тонна; прайс 2026-10-29</t>
        </r>
      </text>
    </comment>
    <comment ref="H23" authorId="0">
      <text>
        <r>
          <rPr>
            <sz val="10"/>
            <rFont val="Arial"/>
            <family val="2"/>
          </rPr>
          <t xml:space="preserve">т — тонна; прайс 2026-10-29</t>
        </r>
      </text>
    </comment>
    <comment ref="H24" authorId="0">
      <text>
        <r>
          <rPr>
            <sz val="10"/>
            <rFont val="Arial"/>
            <family val="2"/>
          </rPr>
          <t xml:space="preserve">т — тонна; прайс 2026-10-29</t>
        </r>
      </text>
    </comment>
    <comment ref="H25" authorId="0">
      <text>
        <r>
          <rPr>
            <sz val="10"/>
            <rFont val="Arial"/>
            <family val="2"/>
          </rPr>
          <t xml:space="preserve">т — тонна; прайс 2026-10-29</t>
        </r>
      </text>
    </comment>
    <comment ref="H26" authorId="0">
      <text>
        <r>
          <rPr>
            <sz val="10"/>
            <rFont val="Arial"/>
            <family val="2"/>
          </rPr>
          <t xml:space="preserve">т — тонна; прайс 2026-10-29</t>
        </r>
      </text>
    </comment>
    <comment ref="H27" authorId="0">
      <text>
        <r>
          <rPr>
            <sz val="10"/>
            <rFont val="Arial"/>
            <family val="2"/>
          </rPr>
          <t xml:space="preserve">т — тонна; прайс 2026-10-29</t>
        </r>
      </text>
    </comment>
  </commentList>
</comments>
</file>

<file path=xl/sharedStrings.xml><?xml version="1.0" encoding="utf-8"?>
<sst xmlns="http://schemas.openxmlformats.org/spreadsheetml/2006/main" count="171" uniqueCount="101">
  <si>
    <t xml:space="preserve">Заявка 1 — расчёт (внутренний)</t>
  </si>
  <si>
    <t xml:space="preserve">Курс ₸ за 1 ₽</t>
  </si>
  <si>
    <t xml:space="preserve">Официальный курс НБ РК на 29.10.2026 (scripts/rate.py). Реальный курс оплаты может отличаться</t>
  </si>
  <si>
    <t xml:space="preserve">НДС РФ в цене поставщика</t>
  </si>
  <si>
    <t xml:space="preserve">Цены «Металл Сервис» — с НДС РФ 22% (с 01.01.2026)</t>
  </si>
  <si>
    <t xml:space="preserve">НДС РК</t>
  </si>
  <si>
    <t xml:space="preserve">Налоговый кодекс РК, с 01.01.2026</t>
  </si>
  <si>
    <t xml:space="preserve">Цены из прайса «Металл Сервис» от 29.10.2026, без доставки. ₸/т с НДС РК = ₽/т ÷ (1 + НДС РФ) × курс × (1 + НДС РК). Вес теоретический (факт ±3–8%). Синие ячейки на жёлтом — можно менять, остальное пересчитается.</t>
  </si>
  <si>
    <t xml:space="preserve">№</t>
  </si>
  <si>
    <t xml:space="preserve">Позиция из заявки</t>
  </si>
  <si>
    <t xml:space="preserve">Кол-во</t>
  </si>
  <si>
    <t xml:space="preserve">Ед.</t>
  </si>
  <si>
    <t xml:space="preserve">Что нашли в каталоге</t>
  </si>
  <si>
    <t xml:space="preserve">Соответствие</t>
  </si>
  <si>
    <t xml:space="preserve">Склад</t>
  </si>
  <si>
    <t xml:space="preserve">Цена, ₽/т
(с НДС РФ 22%)</t>
  </si>
  <si>
    <t xml:space="preserve">Масса,
кг/м (кг/м²)</t>
  </si>
  <si>
    <t xml:space="preserve">Цена, ₸/т
с НДС 16%</t>
  </si>
  <si>
    <t xml:space="preserve">Цена, ₸/т
без НДС</t>
  </si>
  <si>
    <t xml:space="preserve">Цена, ₸ за м (м²)
с НДС 16%</t>
  </si>
  <si>
    <t xml:space="preserve">Сумма, ₸
с НДС 16%</t>
  </si>
  <si>
    <t xml:space="preserve">Цена в заявке,
₸/т</t>
  </si>
  <si>
    <t xml:space="preserve">Наша цена
к цене заявки</t>
  </si>
  <si>
    <t xml:space="preserve">Дешевле всего:
склад</t>
  </si>
  <si>
    <t xml:space="preserve">₽/т на том
складе</t>
  </si>
  <si>
    <t xml:space="preserve">₸/т с НДС 16%
на том складе</t>
  </si>
  <si>
    <t xml:space="preserve">Источник
(файл:строка)</t>
  </si>
  <si>
    <t xml:space="preserve">Примечание</t>
  </si>
  <si>
    <t xml:space="preserve">Лист стальной г/к S2</t>
  </si>
  <si>
    <t xml:space="preserve">т</t>
  </si>
  <si>
    <t xml:space="preserve">СТАЛЬ ЛИСТОВАЯ Г/К ОБЫЧ КАЧЕСТВА | Ст3 н/обр | толщина 2</t>
  </si>
  <si>
    <t xml:space="preserve">точно</t>
  </si>
  <si>
    <t xml:space="preserve">Москва</t>
  </si>
  <si>
    <t xml:space="preserve">listovojprokat.xls:11:A · 2026-10-29</t>
  </si>
  <si>
    <t xml:space="preserve">Формат листа в прайсе не указан (обычно 1250×2500) — уточнить</t>
  </si>
  <si>
    <t xml:space="preserve">Лист стальной г/к S3</t>
  </si>
  <si>
    <t xml:space="preserve">СТАЛЬ ЛИСТОВАЯ Г/К ОБЫЧ КАЧЕСТВА | Ст3 н/обр | толщина 3</t>
  </si>
  <si>
    <t xml:space="preserve">Омск</t>
  </si>
  <si>
    <t xml:space="preserve">listovojprokat.xls:13:A · 2026-10-29</t>
  </si>
  <si>
    <t xml:space="preserve">Формат листа в прайсе не указан — уточнить</t>
  </si>
  <si>
    <t xml:space="preserve">Лист стальной г/к S6</t>
  </si>
  <si>
    <t xml:space="preserve">СТАЛЬ ЛИСТОВАЯ Г/К ОБЫЧ КАЧЕСТВА | Ст3 н/обр | толщина 6</t>
  </si>
  <si>
    <t xml:space="preserve">listovojprokat.xls:19:A · 2026-10-29</t>
  </si>
  <si>
    <t xml:space="preserve">Арматура А500С Ø10</t>
  </si>
  <si>
    <t xml:space="preserve">АРМАТУРА | кл А3 А400;500 12м | диаметр 10</t>
  </si>
  <si>
    <t xml:space="preserve">sortovojprokat.xls:18:F · 2026-10-29</t>
  </si>
  <si>
    <t xml:space="preserve">А400/А500 в одной строке прайса</t>
  </si>
  <si>
    <t xml:space="preserve">Арматура А500С Ø12</t>
  </si>
  <si>
    <t xml:space="preserve">АРМАТУРА | кл А3 А400;500 | диаметр 12</t>
  </si>
  <si>
    <t xml:space="preserve">sortovojprokat.xls:59:A · 2026-10-29</t>
  </si>
  <si>
    <t xml:space="preserve">Арматура А500С Ø20</t>
  </si>
  <si>
    <t xml:space="preserve">АРМАТУРА | кл А3 А400;500 | диаметр 20</t>
  </si>
  <si>
    <t xml:space="preserve">sortovojprokat.xls:67:A · 2026-10-29</t>
  </si>
  <si>
    <t xml:space="preserve">Проволока вязальная</t>
  </si>
  <si>
    <t xml:space="preserve">ПРОВОЛОКА О/К ТОРГОВАЯ | отожженная | диаметр 1.2</t>
  </si>
  <si>
    <t xml:space="preserve">аналог</t>
  </si>
  <si>
    <t xml:space="preserve">Пермь</t>
  </si>
  <si>
    <t xml:space="preserve">metizy.xls:92:F · 2026-10-29</t>
  </si>
  <si>
    <t xml:space="preserve">«Вязальная» в прайсе нет; это отожжённая проволока. Диаметр не указан — взят 1,2 мм (ходовой для вязки), есть 0,6–6 мм</t>
  </si>
  <si>
    <t xml:space="preserve">Двутавр 10</t>
  </si>
  <si>
    <t xml:space="preserve">БАЛКИ ДВУТАВРОВЫЕ | 10 | Хар-ка</t>
  </si>
  <si>
    <t xml:space="preserve">sortovojprokat.xls:178:F · 2026-10-29</t>
  </si>
  <si>
    <t xml:space="preserve">Обычный двутавр ГОСТ 8239</t>
  </si>
  <si>
    <t xml:space="preserve">Двутавр 12</t>
  </si>
  <si>
    <t xml:space="preserve">БАЛКИ ДВУТАВРОВЫЕ | 12 | Хар-ка Б1</t>
  </si>
  <si>
    <t xml:space="preserve">sortovojprokat.xls:180:F · 2026-10-29</t>
  </si>
  <si>
    <t xml:space="preserve">Обычного 12 (ГОСТ 8239) нет — 12Б1 (ГОСТ 26020), легче: 8,7 против 11,5 кг/м</t>
  </si>
  <si>
    <t xml:space="preserve">↳ вариант</t>
  </si>
  <si>
    <t xml:space="preserve">БАЛКИ ДВУТАВРОВЫЕ | 12 | Хар-ка Б2</t>
  </si>
  <si>
    <t xml:space="preserve">sortovojprokat.xls:181:F · 2026-10-29</t>
  </si>
  <si>
    <t xml:space="preserve">Двутавр 16</t>
  </si>
  <si>
    <t xml:space="preserve">БАЛКИ ДВУТАВРОВЫЕ | 16 | Хар-ка Б1</t>
  </si>
  <si>
    <t xml:space="preserve">Новосибирск</t>
  </si>
  <si>
    <t xml:space="preserve">price_sib.xls:95:A · 2026-10-29</t>
  </si>
  <si>
    <t xml:space="preserve">Обычного 16 нет ни на одном складе; 16Б1 есть только в Новосибирске</t>
  </si>
  <si>
    <t xml:space="preserve">Двутавр 20</t>
  </si>
  <si>
    <t xml:space="preserve">БАЛКИ ДВУТАВРОВЫЕ | 20 | Хар-ка</t>
  </si>
  <si>
    <t xml:space="preserve">price_perm.xls:109:F · 2026-10-29</t>
  </si>
  <si>
    <t xml:space="preserve">Обычный 20 есть только на Урале (в Москве нет)</t>
  </si>
  <si>
    <t xml:space="preserve">БАЛКИ ДВУТАВРОВЫЕ | 20 | Хар-ка Б1</t>
  </si>
  <si>
    <t xml:space="preserve">sortovojprokat.xls:187:F · 2026-10-29</t>
  </si>
  <si>
    <t xml:space="preserve">20Б1 есть в Москве Цена за теоретический вес.</t>
  </si>
  <si>
    <t xml:space="preserve">Труба б/ш 57×3,5</t>
  </si>
  <si>
    <t xml:space="preserve">ТРУБЫ Г/Д (катаные, нефтепров) ГОСТ8732-78 | 57 Ст20 | стенка 3.5</t>
  </si>
  <si>
    <t xml:space="preserve">Челябинск</t>
  </si>
  <si>
    <t xml:space="preserve">truby.xls:280:A · 2026-10-29</t>
  </si>
  <si>
    <t xml:space="preserve">Горячедеформированная ГОСТ 8732, Ст20</t>
  </si>
  <si>
    <t xml:space="preserve">Труба б/ш 76×3,5</t>
  </si>
  <si>
    <t xml:space="preserve">ТРУБЫ Г/Д (катаные, нефтепров) ГОСТ8732-78 | 76 Ст20 | стенка 3.5</t>
  </si>
  <si>
    <t xml:space="preserve">truby.xls:231:F · 2026-10-29</t>
  </si>
  <si>
    <t xml:space="preserve">Труба б/ш 76×4</t>
  </si>
  <si>
    <t xml:space="preserve">ТРУБЫ Г/Д (катаные, нефтепров) ГОСТ8732-78 | 76 Ст20 | стенка 4</t>
  </si>
  <si>
    <t xml:space="preserve">Та же строка прайса, что и 76×3,5</t>
  </si>
  <si>
    <t xml:space="preserve">Труба б/ш 108×6</t>
  </si>
  <si>
    <t xml:space="preserve">ТРУБЫ Г/Д (катаные, нефтепров) ГОСТ8732-78 | 108 Ст20 | стенка 6</t>
  </si>
  <si>
    <t xml:space="preserve">truby.xls:251:F · 2026-10-29</t>
  </si>
  <si>
    <t xml:space="preserve">Труба б/ш 219×10</t>
  </si>
  <si>
    <t xml:space="preserve">ТРУБЫ Г/Д (катаные, нефтепров) ГОСТ8732-78 | 219 Ст20 | стенка 10</t>
  </si>
  <si>
    <t xml:space="preserve">truby.xls:322:A · 2026-10-29</t>
  </si>
  <si>
    <t xml:space="preserve">Соответствие: «точно» — та же позиция; «аналог» — точной нет, предложена ближайшая; «уточнить» — в заявке не хватает данных, взят наиболее вероятный вариант. Серые строки — варианты.</t>
  </si>
  <si>
    <t xml:space="preserve">«Дешевле всего» — минимум по складам Москва/Екатеринбург/Челябинск/Пермь/Новосибирск/Омск без учёта доставки.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</si>
</sst>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%"/>
    <numFmt numFmtId="167" formatCode="#,##0;\-#,##0;\-"/>
    <numFmt numFmtId="168" formatCode="0.000"/>
    <numFmt numFmtId="169" formatCode="\+0%;\-0%;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7A33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C55A11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305496"/>
        <bgColor rgb="FF666699"/>
      </patternFill>
    </fill>
    <fill>
      <patternFill patternType="solid">
        <fgColor rgb="FFEDEDED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9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A33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7"/>
    <col collapsed="false" customWidth="true" hidden="false" outlineLevel="0" max="4" min="4" style="0" width="5"/>
    <col collapsed="false" customWidth="true" hidden="false" outlineLevel="0" max="5" min="5" style="0" width="42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18" min="8" style="0" width="14"/>
    <col collapsed="false" customWidth="true" hidden="false" outlineLevel="0" max="19" min="19" style="0" width="26"/>
    <col collapsed="false" customWidth="true" hidden="false" outlineLevel="0" max="20" min="20" style="0" width="48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v>5.67</v>
      </c>
      <c r="C3" s="4" t="s">
        <v>2</v>
      </c>
    </row>
    <row r="4" customFormat="false" ht="15" hidden="false" customHeight="false" outlineLevel="0" collapsed="false">
      <c r="A4" s="2" t="s">
        <v>3</v>
      </c>
      <c r="B4" s="5" t="n">
        <v>0.22</v>
      </c>
      <c r="C4" s="4" t="s">
        <v>4</v>
      </c>
    </row>
    <row r="5" customFormat="false" ht="15" hidden="false" customHeight="false" outlineLevel="0" collapsed="false">
      <c r="A5" s="2" t="s">
        <v>5</v>
      </c>
      <c r="B5" s="5" t="n">
        <v>0.16</v>
      </c>
      <c r="C5" s="4" t="s">
        <v>6</v>
      </c>
    </row>
    <row r="7" customFormat="false" ht="31.5" hidden="false" customHeight="true" outlineLevel="0" collapsed="false">
      <c r="A7" s="6" t="s">
        <v>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9" customFormat="false" ht="45" hidden="false" customHeight="true" outlineLevel="0" collapsed="false">
      <c r="A9" s="7" t="s">
        <v>8</v>
      </c>
      <c r="B9" s="7" t="s">
        <v>9</v>
      </c>
      <c r="C9" s="7" t="s">
        <v>10</v>
      </c>
      <c r="D9" s="7" t="s">
        <v>11</v>
      </c>
      <c r="E9" s="7" t="s">
        <v>12</v>
      </c>
      <c r="F9" s="7" t="s">
        <v>13</v>
      </c>
      <c r="G9" s="7" t="s">
        <v>14</v>
      </c>
      <c r="H9" s="7" t="s">
        <v>15</v>
      </c>
      <c r="I9" s="7" t="s">
        <v>16</v>
      </c>
      <c r="J9" s="7" t="s">
        <v>17</v>
      </c>
      <c r="K9" s="7" t="s">
        <v>18</v>
      </c>
      <c r="L9" s="7" t="s">
        <v>19</v>
      </c>
      <c r="M9" s="7" t="s">
        <v>20</v>
      </c>
      <c r="N9" s="7" t="s">
        <v>21</v>
      </c>
      <c r="O9" s="7" t="s">
        <v>22</v>
      </c>
      <c r="P9" s="7" t="s">
        <v>23</v>
      </c>
      <c r="Q9" s="7" t="s">
        <v>24</v>
      </c>
      <c r="R9" s="7" t="s">
        <v>25</v>
      </c>
      <c r="S9" s="7" t="s">
        <v>26</v>
      </c>
      <c r="T9" s="7" t="s">
        <v>27</v>
      </c>
    </row>
    <row r="10" customFormat="false" ht="26.85" hidden="false" customHeight="false" outlineLevel="0" collapsed="false">
      <c r="A10" s="8" t="n">
        <v>1</v>
      </c>
      <c r="B10" s="8" t="s">
        <v>28</v>
      </c>
      <c r="C10" s="8"/>
      <c r="D10" s="8" t="s">
        <v>29</v>
      </c>
      <c r="E10" s="8" t="s">
        <v>30</v>
      </c>
      <c r="F10" s="9" t="s">
        <v>31</v>
      </c>
      <c r="G10" s="8" t="s">
        <v>32</v>
      </c>
      <c r="H10" s="10" t="n">
        <v>55990</v>
      </c>
      <c r="I10" s="11" t="n">
        <v>15.7</v>
      </c>
      <c r="J10" s="12" t="n">
        <f aca="false">H10/(1+$B$4)*$B$3*(1+$B$5)</f>
        <v>301850.350819672</v>
      </c>
      <c r="K10" s="12" t="n">
        <f aca="false">J10/(1+$B$5)</f>
        <v>260215.819672131</v>
      </c>
      <c r="L10" s="12" t="n">
        <f aca="false">J10*I10/1000</f>
        <v>4739.05050786885</v>
      </c>
      <c r="M10" s="13"/>
      <c r="N10" s="13"/>
      <c r="O10" s="13"/>
      <c r="P10" s="8" t="s">
        <v>32</v>
      </c>
      <c r="Q10" s="10" t="n">
        <v>55990</v>
      </c>
      <c r="R10" s="12" t="n">
        <f aca="false">Q10/(1+$B$4)*$B$3*(1+$B$5)</f>
        <v>301850.350819672</v>
      </c>
      <c r="S10" s="8" t="s">
        <v>33</v>
      </c>
      <c r="T10" s="8" t="s">
        <v>34</v>
      </c>
    </row>
    <row r="11" customFormat="false" ht="26.85" hidden="false" customHeight="false" outlineLevel="0" collapsed="false">
      <c r="A11" s="8" t="n">
        <v>2</v>
      </c>
      <c r="B11" s="8" t="s">
        <v>35</v>
      </c>
      <c r="C11" s="8"/>
      <c r="D11" s="8" t="s">
        <v>29</v>
      </c>
      <c r="E11" s="8" t="s">
        <v>36</v>
      </c>
      <c r="F11" s="9" t="s">
        <v>31</v>
      </c>
      <c r="G11" s="8" t="s">
        <v>32</v>
      </c>
      <c r="H11" s="10" t="n">
        <v>60990</v>
      </c>
      <c r="I11" s="11" t="n">
        <v>23.55</v>
      </c>
      <c r="J11" s="12" t="n">
        <f aca="false">H11/(1+$B$4)*$B$3*(1+$B$5)</f>
        <v>328806.08852459</v>
      </c>
      <c r="K11" s="12" t="n">
        <f aca="false">J11/(1+$B$5)</f>
        <v>283453.524590164</v>
      </c>
      <c r="L11" s="12" t="n">
        <f aca="false">J11*I11/1000</f>
        <v>7743.3833847541</v>
      </c>
      <c r="M11" s="13"/>
      <c r="N11" s="13"/>
      <c r="O11" s="13"/>
      <c r="P11" s="8" t="s">
        <v>37</v>
      </c>
      <c r="Q11" s="10" t="n">
        <v>47990</v>
      </c>
      <c r="R11" s="12" t="n">
        <f aca="false">Q11/(1+$B$4)*$B$3*(1+$B$5)</f>
        <v>258721.170491803</v>
      </c>
      <c r="S11" s="8" t="s">
        <v>38</v>
      </c>
      <c r="T11" s="8" t="s">
        <v>39</v>
      </c>
    </row>
    <row r="12" customFormat="false" ht="26.85" hidden="false" customHeight="false" outlineLevel="0" collapsed="false">
      <c r="A12" s="8" t="n">
        <v>3</v>
      </c>
      <c r="B12" s="8" t="s">
        <v>40</v>
      </c>
      <c r="C12" s="8"/>
      <c r="D12" s="8" t="s">
        <v>29</v>
      </c>
      <c r="E12" s="8" t="s">
        <v>41</v>
      </c>
      <c r="F12" s="9" t="s">
        <v>31</v>
      </c>
      <c r="G12" s="8" t="s">
        <v>32</v>
      </c>
      <c r="H12" s="10" t="n">
        <v>60990</v>
      </c>
      <c r="I12" s="11" t="n">
        <v>47.1</v>
      </c>
      <c r="J12" s="12" t="n">
        <f aca="false">H12/(1+$B$4)*$B$3*(1+$B$5)</f>
        <v>328806.08852459</v>
      </c>
      <c r="K12" s="12" t="n">
        <f aca="false">J12/(1+$B$5)</f>
        <v>283453.524590164</v>
      </c>
      <c r="L12" s="12" t="n">
        <f aca="false">J12*I12/1000</f>
        <v>15486.7667695082</v>
      </c>
      <c r="M12" s="13"/>
      <c r="N12" s="13"/>
      <c r="O12" s="13"/>
      <c r="P12" s="8" t="s">
        <v>32</v>
      </c>
      <c r="Q12" s="10" t="n">
        <v>60990</v>
      </c>
      <c r="R12" s="12" t="n">
        <f aca="false">Q12/(1+$B$4)*$B$3*(1+$B$5)</f>
        <v>328806.08852459</v>
      </c>
      <c r="S12" s="8" t="s">
        <v>42</v>
      </c>
      <c r="T12" s="8" t="s">
        <v>39</v>
      </c>
    </row>
    <row r="13" customFormat="false" ht="26.85" hidden="false" customHeight="false" outlineLevel="0" collapsed="false">
      <c r="A13" s="8" t="n">
        <v>4</v>
      </c>
      <c r="B13" s="8" t="s">
        <v>43</v>
      </c>
      <c r="C13" s="8"/>
      <c r="D13" s="8" t="s">
        <v>29</v>
      </c>
      <c r="E13" s="8" t="s">
        <v>44</v>
      </c>
      <c r="F13" s="9" t="s">
        <v>31</v>
      </c>
      <c r="G13" s="8" t="s">
        <v>32</v>
      </c>
      <c r="H13" s="10" t="n">
        <v>50490</v>
      </c>
      <c r="I13" s="11" t="n">
        <v>0.617</v>
      </c>
      <c r="J13" s="12" t="n">
        <f aca="false">H13/(1+$B$4)*$B$3*(1+$B$5)</f>
        <v>272199.039344262</v>
      </c>
      <c r="K13" s="12" t="n">
        <f aca="false">J13/(1+$B$5)</f>
        <v>234654.344262295</v>
      </c>
      <c r="L13" s="12" t="n">
        <f aca="false">J13*I13/1000</f>
        <v>167.94680727541</v>
      </c>
      <c r="M13" s="13"/>
      <c r="N13" s="10" t="n">
        <v>347700</v>
      </c>
      <c r="O13" s="14" t="n">
        <f aca="false">J13/N13-1</f>
        <v>-0.217143976576755</v>
      </c>
      <c r="P13" s="8" t="s">
        <v>32</v>
      </c>
      <c r="Q13" s="10" t="n">
        <v>50490</v>
      </c>
      <c r="R13" s="12" t="n">
        <f aca="false">Q13/(1+$B$4)*$B$3*(1+$B$5)</f>
        <v>272199.039344262</v>
      </c>
      <c r="S13" s="8" t="s">
        <v>45</v>
      </c>
      <c r="T13" s="8" t="s">
        <v>46</v>
      </c>
    </row>
    <row r="14" customFormat="false" ht="26.85" hidden="false" customHeight="false" outlineLevel="0" collapsed="false">
      <c r="A14" s="8" t="n">
        <v>5</v>
      </c>
      <c r="B14" s="8" t="s">
        <v>47</v>
      </c>
      <c r="C14" s="8"/>
      <c r="D14" s="8" t="s">
        <v>29</v>
      </c>
      <c r="E14" s="8" t="s">
        <v>48</v>
      </c>
      <c r="F14" s="9" t="s">
        <v>31</v>
      </c>
      <c r="G14" s="8" t="s">
        <v>32</v>
      </c>
      <c r="H14" s="10" t="n">
        <v>50990</v>
      </c>
      <c r="I14" s="11" t="n">
        <v>0.888</v>
      </c>
      <c r="J14" s="12" t="n">
        <f aca="false">H14/(1+$B$4)*$B$3*(1+$B$5)</f>
        <v>274894.613114754</v>
      </c>
      <c r="K14" s="12" t="n">
        <f aca="false">J14/(1+$B$5)</f>
        <v>236978.114754098</v>
      </c>
      <c r="L14" s="12" t="n">
        <f aca="false">J14*I14/1000</f>
        <v>244.106416445902</v>
      </c>
      <c r="M14" s="13"/>
      <c r="N14" s="10" t="n">
        <v>364300</v>
      </c>
      <c r="O14" s="14" t="n">
        <f aca="false">J14/N14-1</f>
        <v>-0.245416928040752</v>
      </c>
      <c r="P14" s="8" t="s">
        <v>32</v>
      </c>
      <c r="Q14" s="10" t="n">
        <v>50990</v>
      </c>
      <c r="R14" s="12" t="n">
        <f aca="false">Q14/(1+$B$4)*$B$3*(1+$B$5)</f>
        <v>274894.613114754</v>
      </c>
      <c r="S14" s="8" t="s">
        <v>49</v>
      </c>
      <c r="T14" s="8" t="s">
        <v>46</v>
      </c>
    </row>
    <row r="15" customFormat="false" ht="26.85" hidden="false" customHeight="false" outlineLevel="0" collapsed="false">
      <c r="A15" s="8" t="n">
        <v>6</v>
      </c>
      <c r="B15" s="8" t="s">
        <v>50</v>
      </c>
      <c r="C15" s="8"/>
      <c r="D15" s="8" t="s">
        <v>29</v>
      </c>
      <c r="E15" s="8" t="s">
        <v>51</v>
      </c>
      <c r="F15" s="9" t="s">
        <v>31</v>
      </c>
      <c r="G15" s="8" t="s">
        <v>32</v>
      </c>
      <c r="H15" s="10" t="n">
        <v>50490</v>
      </c>
      <c r="I15" s="11" t="n">
        <v>2.466</v>
      </c>
      <c r="J15" s="12" t="n">
        <f aca="false">H15/(1+$B$4)*$B$3*(1+$B$5)</f>
        <v>272199.039344262</v>
      </c>
      <c r="K15" s="12" t="n">
        <f aca="false">J15/(1+$B$5)</f>
        <v>234654.344262295</v>
      </c>
      <c r="L15" s="12" t="n">
        <f aca="false">J15*I15/1000</f>
        <v>671.242831022951</v>
      </c>
      <c r="M15" s="13"/>
      <c r="N15" s="10" t="n">
        <v>325500</v>
      </c>
      <c r="O15" s="14" t="n">
        <f aca="false">J15/N15-1</f>
        <v>-0.163751031200423</v>
      </c>
      <c r="P15" s="8" t="s">
        <v>32</v>
      </c>
      <c r="Q15" s="10" t="n">
        <v>50490</v>
      </c>
      <c r="R15" s="12" t="n">
        <f aca="false">Q15/(1+$B$4)*$B$3*(1+$B$5)</f>
        <v>272199.039344262</v>
      </c>
      <c r="S15" s="8" t="s">
        <v>52</v>
      </c>
      <c r="T15" s="8" t="s">
        <v>46</v>
      </c>
    </row>
    <row r="16" customFormat="false" ht="39.55" hidden="false" customHeight="false" outlineLevel="0" collapsed="false">
      <c r="A16" s="8" t="n">
        <v>7</v>
      </c>
      <c r="B16" s="8" t="s">
        <v>53</v>
      </c>
      <c r="C16" s="8"/>
      <c r="D16" s="8" t="s">
        <v>29</v>
      </c>
      <c r="E16" s="8" t="s">
        <v>54</v>
      </c>
      <c r="F16" s="15" t="s">
        <v>55</v>
      </c>
      <c r="G16" s="8" t="s">
        <v>32</v>
      </c>
      <c r="H16" s="10" t="n">
        <v>99990</v>
      </c>
      <c r="I16" s="13"/>
      <c r="J16" s="12" t="n">
        <f aca="false">H16/(1+$B$4)*$B$3*(1+$B$5)</f>
        <v>539060.842622951</v>
      </c>
      <c r="K16" s="12" t="n">
        <f aca="false">J16/(1+$B$5)</f>
        <v>464707.62295082</v>
      </c>
      <c r="L16" s="13"/>
      <c r="M16" s="13"/>
      <c r="N16" s="13"/>
      <c r="O16" s="13"/>
      <c r="P16" s="8" t="s">
        <v>56</v>
      </c>
      <c r="Q16" s="10" t="n">
        <v>94990</v>
      </c>
      <c r="R16" s="12" t="n">
        <f aca="false">Q16/(1+$B$4)*$B$3*(1+$B$5)</f>
        <v>512105.104918033</v>
      </c>
      <c r="S16" s="8" t="s">
        <v>57</v>
      </c>
      <c r="T16" s="8" t="s">
        <v>58</v>
      </c>
    </row>
    <row r="17" customFormat="false" ht="26.85" hidden="false" customHeight="false" outlineLevel="0" collapsed="false">
      <c r="A17" s="8" t="n">
        <v>8</v>
      </c>
      <c r="B17" s="8" t="s">
        <v>59</v>
      </c>
      <c r="C17" s="8"/>
      <c r="D17" s="8" t="s">
        <v>29</v>
      </c>
      <c r="E17" s="8" t="s">
        <v>60</v>
      </c>
      <c r="F17" s="9" t="s">
        <v>31</v>
      </c>
      <c r="G17" s="8" t="s">
        <v>32</v>
      </c>
      <c r="H17" s="10" t="n">
        <v>99690</v>
      </c>
      <c r="I17" s="11" t="n">
        <v>9.46</v>
      </c>
      <c r="J17" s="12" t="n">
        <f aca="false">H17/(1+$B$4)*$B$3*(1+$B$5)</f>
        <v>537443.498360656</v>
      </c>
      <c r="K17" s="12" t="n">
        <f aca="false">J17/(1+$B$5)</f>
        <v>463313.360655738</v>
      </c>
      <c r="L17" s="12" t="n">
        <f aca="false">J17*I17/1000</f>
        <v>5084.2154944918</v>
      </c>
      <c r="M17" s="13"/>
      <c r="N17" s="13"/>
      <c r="O17" s="13"/>
      <c r="P17" s="8" t="s">
        <v>32</v>
      </c>
      <c r="Q17" s="10" t="n">
        <v>99690</v>
      </c>
      <c r="R17" s="12" t="n">
        <f aca="false">Q17/(1+$B$4)*$B$3*(1+$B$5)</f>
        <v>537443.498360656</v>
      </c>
      <c r="S17" s="8" t="s">
        <v>61</v>
      </c>
      <c r="T17" s="8" t="s">
        <v>62</v>
      </c>
    </row>
    <row r="18" customFormat="false" ht="26.85" hidden="false" customHeight="false" outlineLevel="0" collapsed="false">
      <c r="A18" s="8" t="n">
        <v>9</v>
      </c>
      <c r="B18" s="8" t="s">
        <v>63</v>
      </c>
      <c r="C18" s="8"/>
      <c r="D18" s="8" t="s">
        <v>29</v>
      </c>
      <c r="E18" s="8" t="s">
        <v>64</v>
      </c>
      <c r="F18" s="15" t="s">
        <v>55</v>
      </c>
      <c r="G18" s="8" t="s">
        <v>32</v>
      </c>
      <c r="H18" s="10" t="n">
        <v>101990</v>
      </c>
      <c r="I18" s="11" t="n">
        <v>8.7</v>
      </c>
      <c r="J18" s="12" t="n">
        <f aca="false">H18/(1+$B$4)*$B$3*(1+$B$5)</f>
        <v>549843.137704918</v>
      </c>
      <c r="K18" s="12" t="n">
        <f aca="false">J18/(1+$B$5)</f>
        <v>474002.704918033</v>
      </c>
      <c r="L18" s="12" t="n">
        <f aca="false">J18*I18/1000</f>
        <v>4783.63529803279</v>
      </c>
      <c r="M18" s="13"/>
      <c r="N18" s="13"/>
      <c r="O18" s="13"/>
      <c r="P18" s="8" t="s">
        <v>32</v>
      </c>
      <c r="Q18" s="10" t="n">
        <v>101990</v>
      </c>
      <c r="R18" s="12" t="n">
        <f aca="false">Q18/(1+$B$4)*$B$3*(1+$B$5)</f>
        <v>549843.137704918</v>
      </c>
      <c r="S18" s="8" t="s">
        <v>65</v>
      </c>
      <c r="T18" s="8" t="s">
        <v>66</v>
      </c>
    </row>
    <row r="19" customFormat="false" ht="26.85" hidden="false" customHeight="false" outlineLevel="0" collapsed="false">
      <c r="A19" s="16"/>
      <c r="B19" s="16" t="s">
        <v>67</v>
      </c>
      <c r="C19" s="16"/>
      <c r="D19" s="16"/>
      <c r="E19" s="16" t="s">
        <v>68</v>
      </c>
      <c r="F19" s="17" t="s">
        <v>55</v>
      </c>
      <c r="G19" s="16" t="s">
        <v>32</v>
      </c>
      <c r="H19" s="18" t="n">
        <v>99990</v>
      </c>
      <c r="I19" s="19" t="n">
        <v>10.4</v>
      </c>
      <c r="J19" s="20" t="n">
        <f aca="false">H19/(1+$B$4)*$B$3*(1+$B$5)</f>
        <v>539060.842622951</v>
      </c>
      <c r="K19" s="20" t="n">
        <f aca="false">J19/(1+$B$5)</f>
        <v>464707.62295082</v>
      </c>
      <c r="L19" s="20" t="n">
        <f aca="false">J19*I19/1000</f>
        <v>5606.23276327869</v>
      </c>
      <c r="M19" s="21"/>
      <c r="N19" s="21"/>
      <c r="O19" s="21"/>
      <c r="P19" s="16" t="s">
        <v>32</v>
      </c>
      <c r="Q19" s="18" t="n">
        <v>99990</v>
      </c>
      <c r="R19" s="20" t="n">
        <f aca="false">Q19/(1+$B$4)*$B$3*(1+$B$5)</f>
        <v>539060.842622951</v>
      </c>
      <c r="S19" s="16" t="s">
        <v>69</v>
      </c>
      <c r="T19" s="16"/>
    </row>
    <row r="20" customFormat="false" ht="26.85" hidden="false" customHeight="false" outlineLevel="0" collapsed="false">
      <c r="A20" s="8" t="n">
        <v>10</v>
      </c>
      <c r="B20" s="8" t="s">
        <v>70</v>
      </c>
      <c r="C20" s="8"/>
      <c r="D20" s="8" t="s">
        <v>29</v>
      </c>
      <c r="E20" s="8" t="s">
        <v>71</v>
      </c>
      <c r="F20" s="15" t="s">
        <v>55</v>
      </c>
      <c r="G20" s="8" t="s">
        <v>72</v>
      </c>
      <c r="H20" s="10" t="n">
        <v>105990</v>
      </c>
      <c r="I20" s="11" t="n">
        <v>12.7</v>
      </c>
      <c r="J20" s="12" t="n">
        <f aca="false">H20/(1+$B$4)*$B$3*(1+$B$5)</f>
        <v>571407.727868852</v>
      </c>
      <c r="K20" s="12" t="n">
        <f aca="false">J20/(1+$B$5)</f>
        <v>492592.868852459</v>
      </c>
      <c r="L20" s="12" t="n">
        <f aca="false">J20*I20/1000</f>
        <v>7256.87814393443</v>
      </c>
      <c r="M20" s="13"/>
      <c r="N20" s="13"/>
      <c r="O20" s="13"/>
      <c r="P20" s="8" t="s">
        <v>72</v>
      </c>
      <c r="Q20" s="10" t="n">
        <v>105990</v>
      </c>
      <c r="R20" s="12" t="n">
        <f aca="false">Q20/(1+$B$4)*$B$3*(1+$B$5)</f>
        <v>571407.727868852</v>
      </c>
      <c r="S20" s="8" t="s">
        <v>73</v>
      </c>
      <c r="T20" s="8" t="s">
        <v>74</v>
      </c>
    </row>
    <row r="21" customFormat="false" ht="26.85" hidden="false" customHeight="false" outlineLevel="0" collapsed="false">
      <c r="A21" s="8" t="n">
        <v>11</v>
      </c>
      <c r="B21" s="8" t="s">
        <v>75</v>
      </c>
      <c r="C21" s="8"/>
      <c r="D21" s="8" t="s">
        <v>29</v>
      </c>
      <c r="E21" s="8" t="s">
        <v>76</v>
      </c>
      <c r="F21" s="9" t="s">
        <v>31</v>
      </c>
      <c r="G21" s="8" t="s">
        <v>56</v>
      </c>
      <c r="H21" s="10" t="n">
        <v>96990</v>
      </c>
      <c r="I21" s="11" t="n">
        <v>21</v>
      </c>
      <c r="J21" s="12" t="n">
        <f aca="false">H21/(1+$B$4)*$B$3*(1+$B$5)</f>
        <v>522887.4</v>
      </c>
      <c r="K21" s="12" t="n">
        <f aca="false">J21/(1+$B$5)</f>
        <v>450765</v>
      </c>
      <c r="L21" s="12" t="n">
        <f aca="false">J21*I21/1000</f>
        <v>10980.6354</v>
      </c>
      <c r="M21" s="13"/>
      <c r="N21" s="13"/>
      <c r="O21" s="13"/>
      <c r="P21" s="8" t="s">
        <v>56</v>
      </c>
      <c r="Q21" s="10" t="n">
        <v>96990</v>
      </c>
      <c r="R21" s="12" t="n">
        <f aca="false">Q21/(1+$B$4)*$B$3*(1+$B$5)</f>
        <v>522887.4</v>
      </c>
      <c r="S21" s="8" t="s">
        <v>77</v>
      </c>
      <c r="T21" s="8" t="s">
        <v>78</v>
      </c>
    </row>
    <row r="22" customFormat="false" ht="26.85" hidden="false" customHeight="false" outlineLevel="0" collapsed="false">
      <c r="A22" s="16"/>
      <c r="B22" s="16" t="s">
        <v>67</v>
      </c>
      <c r="C22" s="16"/>
      <c r="D22" s="16"/>
      <c r="E22" s="16" t="s">
        <v>79</v>
      </c>
      <c r="F22" s="17" t="s">
        <v>55</v>
      </c>
      <c r="G22" s="16" t="s">
        <v>32</v>
      </c>
      <c r="H22" s="18" t="n">
        <v>93900</v>
      </c>
      <c r="I22" s="19" t="n">
        <v>22.4</v>
      </c>
      <c r="J22" s="20" t="n">
        <f aca="false">H22/(1+$B$4)*$B$3*(1+$B$5)</f>
        <v>506228.754098361</v>
      </c>
      <c r="K22" s="20" t="n">
        <f aca="false">J22/(1+$B$5)</f>
        <v>436404.098360656</v>
      </c>
      <c r="L22" s="20" t="n">
        <f aca="false">J22*I22/1000</f>
        <v>11339.5240918033</v>
      </c>
      <c r="M22" s="21"/>
      <c r="N22" s="21"/>
      <c r="O22" s="21"/>
      <c r="P22" s="16" t="s">
        <v>32</v>
      </c>
      <c r="Q22" s="18" t="n">
        <v>93900</v>
      </c>
      <c r="R22" s="20" t="n">
        <f aca="false">Q22/(1+$B$4)*$B$3*(1+$B$5)</f>
        <v>506228.754098361</v>
      </c>
      <c r="S22" s="16" t="s">
        <v>80</v>
      </c>
      <c r="T22" s="16" t="s">
        <v>81</v>
      </c>
    </row>
    <row r="23" customFormat="false" ht="26.85" hidden="false" customHeight="false" outlineLevel="0" collapsed="false">
      <c r="A23" s="8" t="n">
        <v>12</v>
      </c>
      <c r="B23" s="8" t="s">
        <v>82</v>
      </c>
      <c r="C23" s="8"/>
      <c r="D23" s="8" t="s">
        <v>29</v>
      </c>
      <c r="E23" s="8" t="s">
        <v>83</v>
      </c>
      <c r="F23" s="9" t="s">
        <v>31</v>
      </c>
      <c r="G23" s="8" t="s">
        <v>32</v>
      </c>
      <c r="H23" s="10" t="n">
        <v>119990</v>
      </c>
      <c r="I23" s="11" t="n">
        <v>4.618</v>
      </c>
      <c r="J23" s="12" t="n">
        <f aca="false">H23/(1+$B$4)*$B$3*(1+$B$5)</f>
        <v>646883.793442623</v>
      </c>
      <c r="K23" s="12" t="n">
        <f aca="false">J23/(1+$B$5)</f>
        <v>557658.442622951</v>
      </c>
      <c r="L23" s="12" t="n">
        <f aca="false">J23*I23/1000</f>
        <v>2987.30935811803</v>
      </c>
      <c r="M23" s="13"/>
      <c r="N23" s="10" t="n">
        <v>668000</v>
      </c>
      <c r="O23" s="14" t="n">
        <f aca="false">J23/N23-1</f>
        <v>-0.0316110876607441</v>
      </c>
      <c r="P23" s="8" t="s">
        <v>84</v>
      </c>
      <c r="Q23" s="10" t="n">
        <v>118990</v>
      </c>
      <c r="R23" s="12" t="n">
        <f aca="false">Q23/(1+$B$4)*$B$3*(1+$B$5)</f>
        <v>641492.645901639</v>
      </c>
      <c r="S23" s="8" t="s">
        <v>85</v>
      </c>
      <c r="T23" s="8" t="s">
        <v>86</v>
      </c>
    </row>
    <row r="24" customFormat="false" ht="26.85" hidden="false" customHeight="false" outlineLevel="0" collapsed="false">
      <c r="A24" s="8" t="n">
        <v>13</v>
      </c>
      <c r="B24" s="8" t="s">
        <v>87</v>
      </c>
      <c r="C24" s="8"/>
      <c r="D24" s="8" t="s">
        <v>29</v>
      </c>
      <c r="E24" s="8" t="s">
        <v>88</v>
      </c>
      <c r="F24" s="9" t="s">
        <v>31</v>
      </c>
      <c r="G24" s="8" t="s">
        <v>32</v>
      </c>
      <c r="H24" s="10" t="n">
        <v>114990</v>
      </c>
      <c r="I24" s="11" t="n">
        <v>6.258</v>
      </c>
      <c r="J24" s="12" t="n">
        <f aca="false">H24/(1+$B$4)*$B$3*(1+$B$5)</f>
        <v>619928.055737705</v>
      </c>
      <c r="K24" s="12" t="n">
        <f aca="false">J24/(1+$B$5)</f>
        <v>534420.737704918</v>
      </c>
      <c r="L24" s="12" t="n">
        <f aca="false">J24*I24/1000</f>
        <v>3879.50977280656</v>
      </c>
      <c r="M24" s="13"/>
      <c r="N24" s="10" t="n">
        <v>559000</v>
      </c>
      <c r="O24" s="14" t="n">
        <f aca="false">J24/N24-1</f>
        <v>0.108994732983372</v>
      </c>
      <c r="P24" s="8" t="s">
        <v>84</v>
      </c>
      <c r="Q24" s="10" t="n">
        <v>113990</v>
      </c>
      <c r="R24" s="12" t="n">
        <f aca="false">Q24/(1+$B$4)*$B$3*(1+$B$5)</f>
        <v>614536.908196721</v>
      </c>
      <c r="S24" s="8" t="s">
        <v>89</v>
      </c>
      <c r="T24" s="8" t="s">
        <v>86</v>
      </c>
    </row>
    <row r="25" customFormat="false" ht="26.85" hidden="false" customHeight="false" outlineLevel="0" collapsed="false">
      <c r="A25" s="8" t="n">
        <v>14</v>
      </c>
      <c r="B25" s="8" t="s">
        <v>90</v>
      </c>
      <c r="C25" s="8"/>
      <c r="D25" s="8" t="s">
        <v>29</v>
      </c>
      <c r="E25" s="8" t="s">
        <v>91</v>
      </c>
      <c r="F25" s="9" t="s">
        <v>31</v>
      </c>
      <c r="G25" s="8" t="s">
        <v>32</v>
      </c>
      <c r="H25" s="10" t="n">
        <v>114990</v>
      </c>
      <c r="I25" s="11" t="n">
        <v>7.103</v>
      </c>
      <c r="J25" s="12" t="n">
        <f aca="false">H25/(1+$B$4)*$B$3*(1+$B$5)</f>
        <v>619928.055737705</v>
      </c>
      <c r="K25" s="12" t="n">
        <f aca="false">J25/(1+$B$5)</f>
        <v>534420.737704918</v>
      </c>
      <c r="L25" s="12" t="n">
        <f aca="false">J25*I25/1000</f>
        <v>4403.34897990492</v>
      </c>
      <c r="M25" s="13"/>
      <c r="N25" s="13"/>
      <c r="O25" s="13"/>
      <c r="P25" s="8" t="s">
        <v>56</v>
      </c>
      <c r="Q25" s="10" t="n">
        <v>113990</v>
      </c>
      <c r="R25" s="12" t="n">
        <f aca="false">Q25/(1+$B$4)*$B$3*(1+$B$5)</f>
        <v>614536.908196721</v>
      </c>
      <c r="S25" s="8" t="s">
        <v>89</v>
      </c>
      <c r="T25" s="8" t="s">
        <v>92</v>
      </c>
    </row>
    <row r="26" customFormat="false" ht="26.85" hidden="false" customHeight="false" outlineLevel="0" collapsed="false">
      <c r="A26" s="8" t="n">
        <v>15</v>
      </c>
      <c r="B26" s="8" t="s">
        <v>93</v>
      </c>
      <c r="C26" s="8"/>
      <c r="D26" s="8" t="s">
        <v>29</v>
      </c>
      <c r="E26" s="8" t="s">
        <v>94</v>
      </c>
      <c r="F26" s="9" t="s">
        <v>31</v>
      </c>
      <c r="G26" s="8" t="s">
        <v>32</v>
      </c>
      <c r="H26" s="10" t="n">
        <v>114990</v>
      </c>
      <c r="I26" s="11" t="n">
        <v>15.093</v>
      </c>
      <c r="J26" s="12" t="n">
        <f aca="false">H26/(1+$B$4)*$B$3*(1+$B$5)</f>
        <v>619928.055737705</v>
      </c>
      <c r="K26" s="12" t="n">
        <f aca="false">J26/(1+$B$5)</f>
        <v>534420.737704918</v>
      </c>
      <c r="L26" s="12" t="n">
        <f aca="false">J26*I26/1000</f>
        <v>9356.57414524918</v>
      </c>
      <c r="M26" s="13"/>
      <c r="N26" s="10" t="n">
        <v>559000</v>
      </c>
      <c r="O26" s="14" t="n">
        <f aca="false">J26/N26-1</f>
        <v>0.108994732983372</v>
      </c>
      <c r="P26" s="8" t="s">
        <v>84</v>
      </c>
      <c r="Q26" s="10" t="n">
        <v>113990</v>
      </c>
      <c r="R26" s="12" t="n">
        <f aca="false">Q26/(1+$B$4)*$B$3*(1+$B$5)</f>
        <v>614536.908196721</v>
      </c>
      <c r="S26" s="8" t="s">
        <v>95</v>
      </c>
      <c r="T26" s="8" t="s">
        <v>86</v>
      </c>
    </row>
    <row r="27" customFormat="false" ht="26.85" hidden="false" customHeight="false" outlineLevel="0" collapsed="false">
      <c r="A27" s="8" t="n">
        <v>16</v>
      </c>
      <c r="B27" s="8" t="s">
        <v>96</v>
      </c>
      <c r="C27" s="8"/>
      <c r="D27" s="8" t="s">
        <v>29</v>
      </c>
      <c r="E27" s="8" t="s">
        <v>97</v>
      </c>
      <c r="F27" s="9" t="s">
        <v>31</v>
      </c>
      <c r="G27" s="8" t="s">
        <v>32</v>
      </c>
      <c r="H27" s="10" t="n">
        <v>119990</v>
      </c>
      <c r="I27" s="11" t="n">
        <v>51.543</v>
      </c>
      <c r="J27" s="12" t="n">
        <f aca="false">H27/(1+$B$4)*$B$3*(1+$B$5)</f>
        <v>646883.793442623</v>
      </c>
      <c r="K27" s="12" t="n">
        <f aca="false">J27/(1+$B$5)</f>
        <v>557658.442622951</v>
      </c>
      <c r="L27" s="12" t="n">
        <f aca="false">J27*I27/1000</f>
        <v>33342.3313654131</v>
      </c>
      <c r="M27" s="13"/>
      <c r="N27" s="10" t="n">
        <v>668000</v>
      </c>
      <c r="O27" s="14" t="n">
        <f aca="false">J27/N27-1</f>
        <v>-0.0316110876607441</v>
      </c>
      <c r="P27" s="8" t="s">
        <v>56</v>
      </c>
      <c r="Q27" s="10" t="n">
        <v>118990</v>
      </c>
      <c r="R27" s="12" t="n">
        <f aca="false">Q27/(1+$B$4)*$B$3*(1+$B$5)</f>
        <v>641492.645901639</v>
      </c>
      <c r="S27" s="8" t="s">
        <v>98</v>
      </c>
      <c r="T27" s="8" t="s">
        <v>86</v>
      </c>
    </row>
    <row r="29" customFormat="false" ht="15" hidden="false" customHeight="false" outlineLevel="0" collapsed="false">
      <c r="A29" s="22" t="s">
        <v>99</v>
      </c>
    </row>
    <row r="30" customFormat="false" ht="15" hidden="false" customHeight="false" outlineLevel="0" collapsed="false">
      <c r="A30" s="22" t="s">
        <v>100</v>
      </c>
    </row>
  </sheetData>
  <mergeCells count="1">
    <mergeCell ref="A7:L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2026-10-29T12:06:21Z</dcterms:created>
  <dc:creator>openpyxl</dc:creator>
  <dc:description/>
  <dc:language>en-US</dc:language>
  <cp:lastModifiedBy/>
  <dcterms:modified xsi:type="dcterms:W3CDTF">2026-10-29T12:06:21Z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