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асчёт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11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12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3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4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5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6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7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18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19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0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1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2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3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26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27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</commentList>
</comments>
</file>

<file path=xl/sharedStrings.xml><?xml version="1.0" encoding="utf-8"?>
<sst xmlns="http://schemas.openxmlformats.org/spreadsheetml/2006/main" count="160" uniqueCount="100">
  <si>
    <t xml:space="preserve">Заявка 3 (ТК, рама установки) — цены без логистики</t>
  </si>
  <si>
    <t xml:space="preserve">Курс ₸ за 1 ₽</t>
  </si>
  <si>
    <t xml:space="preserve">Официальный курс НБ РК на 29.10.2026 (scripts/rate.py). Реальный курс оплаты может отличаться</t>
  </si>
  <si>
    <t xml:space="preserve">НДС РФ в цене поставщика</t>
  </si>
  <si>
    <t xml:space="preserve">Цены «Металл Сервис» — с НДС РФ 22% (с 01.01.2026)</t>
  </si>
  <si>
    <t xml:space="preserve">НДС РК</t>
  </si>
  <si>
    <t xml:space="preserve">Налоговый кодекс РК, с 01.01.2026</t>
  </si>
  <si>
    <t xml:space="preserve">Цены из прайса «Металл Сервис» от 29.10.2026, без доставки. ₸/т с НДС РК = ₽/т ÷ (1 + НДС РФ) × курс × (1 + НДС РК). Вес теоретический (факт ±3–8%). Синие ячейки на жёлтом — можно менять, остальное пересчитается.</t>
  </si>
  <si>
    <t xml:space="preserve">№</t>
  </si>
  <si>
    <t xml:space="preserve">Позиция из заявки</t>
  </si>
  <si>
    <t xml:space="preserve">Кол-во</t>
  </si>
  <si>
    <t xml:space="preserve">Ед.</t>
  </si>
  <si>
    <t xml:space="preserve">Что нашли в каталоге</t>
  </si>
  <si>
    <t xml:space="preserve">Соответствие</t>
  </si>
  <si>
    <t xml:space="preserve">Склад</t>
  </si>
  <si>
    <t xml:space="preserve">Цена, ₽/т
(с НДС РФ 22%)</t>
  </si>
  <si>
    <t xml:space="preserve">Масса,
кг/м (кг/м²)</t>
  </si>
  <si>
    <t xml:space="preserve">Цена, ₸/т
с НДС 16%</t>
  </si>
  <si>
    <t xml:space="preserve">Цена, ₸/т
без НДС</t>
  </si>
  <si>
    <t xml:space="preserve">Цена, ₸ за м (м²)
с НДС 16%</t>
  </si>
  <si>
    <t xml:space="preserve">Сумма, ₸
с НДС 16%</t>
  </si>
  <si>
    <t xml:space="preserve">Дешевле всего:
склад</t>
  </si>
  <si>
    <t xml:space="preserve">₽/т на том
складе</t>
  </si>
  <si>
    <t xml:space="preserve">₸/т с НДС 16%
на том складе</t>
  </si>
  <si>
    <t xml:space="preserve">Источник
(файл:строка)</t>
  </si>
  <si>
    <t xml:space="preserve">Примечание</t>
  </si>
  <si>
    <t xml:space="preserve">Труба профильная 300*300 мм, стенка 3 мм</t>
  </si>
  <si>
    <t xml:space="preserve">м</t>
  </si>
  <si>
    <t xml:space="preserve">ТРУБЫ ЭЛЕКТРОСВАРНЫЕ КВАДРАТ | 300 | стенка 6</t>
  </si>
  <si>
    <t xml:space="preserve">аналог</t>
  </si>
  <si>
    <t xml:space="preserve">Москва</t>
  </si>
  <si>
    <t xml:space="preserve">truby.xls:1417:A · 2026-10-29</t>
  </si>
  <si>
    <t xml:space="preserve">Стенки 3 мм для 300×300 нет — минимальная в каталоге 6 мм (вдвое тяжелее) Цена за теоретический вес.</t>
  </si>
  <si>
    <t xml:space="preserve">Труба профильная 200*200 мм, стенка 3 мм</t>
  </si>
  <si>
    <t xml:space="preserve">ТРУБЫ ЭЛЕКТРОСВАРНЫЕ КВАДРАТ | 200 | стенка 5</t>
  </si>
  <si>
    <t xml:space="preserve">truby.xls:1377:A · 2026-10-29</t>
  </si>
  <si>
    <t xml:space="preserve">Стенки 3 мм для 200×200 нет — минимальная в каталоге 5 мм Цена за теоретический вес.</t>
  </si>
  <si>
    <t xml:space="preserve">Труба профильная 150*150 мм, стенка 3 мм</t>
  </si>
  <si>
    <t xml:space="preserve">ТРУБЫ ЭЛЕКТРОСВАРНЫЕ КВАДРАТ | 150 | стенка 4</t>
  </si>
  <si>
    <t xml:space="preserve">truby.xls:1306:F · 2026-10-29</t>
  </si>
  <si>
    <t xml:space="preserve">Стенки 3 мм для 150×150 нет — минимальная в каталоге 4 мм</t>
  </si>
  <si>
    <t xml:space="preserve">Лист г/к рифлёный, толщина 4 мм</t>
  </si>
  <si>
    <t xml:space="preserve">м2</t>
  </si>
  <si>
    <t xml:space="preserve">ЛИСТ РИФЛЕНЫЙ | н/обр чечев | толщина 4</t>
  </si>
  <si>
    <t xml:space="preserve">точно</t>
  </si>
  <si>
    <t xml:space="preserve">listovojprokat.xls:102:F · 2026-10-29</t>
  </si>
  <si>
    <t xml:space="preserve">Рифление «чечевица». Масса 31,4 кг/м² — как у гладкого листа; рифлёный тяжелее на несколько %, уточнить</t>
  </si>
  <si>
    <t xml:space="preserve">↳ вариант</t>
  </si>
  <si>
    <t xml:space="preserve">ЛИСТ РИФЛЕНЫЙ | н/обр ромб | толщина 4</t>
  </si>
  <si>
    <t xml:space="preserve">listovojprokat.xls:94:F · 2026-10-29</t>
  </si>
  <si>
    <t xml:space="preserve">Рифление «ромб». Масса — как у гладкого листа, уточнить</t>
  </si>
  <si>
    <t xml:space="preserve">Лист г/к, толщина 22 мм</t>
  </si>
  <si>
    <t xml:space="preserve">СТАЛЬ ЛИСТОВАЯ Г/К ОБЫЧ КАЧЕСТВА | Ст3 обр | толщина 22</t>
  </si>
  <si>
    <t xml:space="preserve">listovojprokat.xls:59:A · 2026-10-29</t>
  </si>
  <si>
    <t xml:space="preserve">Формат листа — уточнить</t>
  </si>
  <si>
    <t xml:space="preserve">Лист г/к, толщина 12 мм</t>
  </si>
  <si>
    <t xml:space="preserve">СТАЛЬ ЛИСТОВАЯ Г/К ОБЫЧ КАЧЕСТВА | Ст3 н/обр | толщина 12</t>
  </si>
  <si>
    <t xml:space="preserve">listovojprokat.xls:33:A · 2026-10-29</t>
  </si>
  <si>
    <t xml:space="preserve">Двутавровая балка, высота 300 мм</t>
  </si>
  <si>
    <t xml:space="preserve">БАЛКИ ДВУТАВРОВЫЕ | 30 | Хар-ка Б1</t>
  </si>
  <si>
    <t xml:space="preserve">уточнить</t>
  </si>
  <si>
    <t xml:space="preserve">sortovojprokat.xls:201:F · 2026-10-29</t>
  </si>
  <si>
    <t xml:space="preserve">Серия не указана: 30Б1 — самая лёгкая Цена за теоретический вес.</t>
  </si>
  <si>
    <t xml:space="preserve">БАЛКИ ДВУТАВРОВЫЕ | 30 | Хар-ка Ш1</t>
  </si>
  <si>
    <t xml:space="preserve">sortovojprokat.xls:209:F · 2026-10-29</t>
  </si>
  <si>
    <t xml:space="preserve">30Ш1 — широкополочная, тяжелее Цена за теоретический вес.</t>
  </si>
  <si>
    <t xml:space="preserve">Угольник 40*40</t>
  </si>
  <si>
    <t xml:space="preserve">УГОЛОК | 40x40 | толщина 4</t>
  </si>
  <si>
    <t xml:space="preserve">Новосибирск</t>
  </si>
  <si>
    <t xml:space="preserve">sortovojprokat.xls:83:A · 2026-10-29</t>
  </si>
  <si>
    <t xml:space="preserve">Толщина не указана — взят 40×40×4</t>
  </si>
  <si>
    <t xml:space="preserve">УГОЛОК | 40x40 | толщина 3</t>
  </si>
  <si>
    <t xml:space="preserve">sortovojprokat.xls:82:A · 2026-10-29</t>
  </si>
  <si>
    <t xml:space="preserve">Вариант 40×40×3</t>
  </si>
  <si>
    <t xml:space="preserve">Арматура диам 16</t>
  </si>
  <si>
    <t xml:space="preserve">АРМАТУРА | кл А3 А400;500 | диаметр 16</t>
  </si>
  <si>
    <t xml:space="preserve">sortovojprokat.xls:63:A · 2026-10-29</t>
  </si>
  <si>
    <t xml:space="preserve">Класс не указан — взята А500С (А3)</t>
  </si>
  <si>
    <t xml:space="preserve">Швеллер горячекатанный 300*60*5</t>
  </si>
  <si>
    <t xml:space="preserve">ШВЕЛЛЕР | 30 | Хар-ка</t>
  </si>
  <si>
    <t xml:space="preserve">sortovojprokat.xls:160:F · 2026-10-29</t>
  </si>
  <si>
    <t xml:space="preserve">Г/к швеллера 300×60 не бывает; №30 (ГОСТ 8240) — 300×100</t>
  </si>
  <si>
    <t xml:space="preserve">ШВЕЛЛЕР ГНУТЫЙ | 300x100 | толщина 6</t>
  </si>
  <si>
    <t xml:space="preserve">sortovojprokat.xls:309:A · 2026-10-29</t>
  </si>
  <si>
    <t xml:space="preserve">Гнутого 300×60×5 нет; ближайший гнутый 300×100×6 Цена за теоретический вес.</t>
  </si>
  <si>
    <t xml:space="preserve">Лебёдка с редуктором 500 кг, канат 30 м, 380 В, TOR</t>
  </si>
  <si>
    <t xml:space="preserve">шт</t>
  </si>
  <si>
    <t xml:space="preserve">нет в каталоге</t>
  </si>
  <si>
    <t xml:space="preserve">Не металлопрокат — в прайсе «Металл Сервис» нет</t>
  </si>
  <si>
    <t xml:space="preserve">Блок монтажный опорный TOR 5 т</t>
  </si>
  <si>
    <t xml:space="preserve">Труба диам 400 мм, стенка 8–10 мм</t>
  </si>
  <si>
    <t xml:space="preserve">ТРУБЫ ЭЛЕКТРОСВАРНЫЕ | 426 фаска снята | стенка 8</t>
  </si>
  <si>
    <t xml:space="preserve">truby.xls:886:A · 2026-10-29</t>
  </si>
  <si>
    <t xml:space="preserve">Ø400 нет; стандартный размер — 426. Длина трубы не указана → сумма не посчитана Цена за теоретический вес.</t>
  </si>
  <si>
    <t xml:space="preserve">ТРУБЫ ЭЛЕКТРОСВАРНЫЕ | 426 фаска снята 100% гидроиспытания | стенка 10</t>
  </si>
  <si>
    <t xml:space="preserve">truby.xls:918:A · 2026-10-29</t>
  </si>
  <si>
    <t xml:space="preserve">Вариант со стенкой 10 мм Цена за теоретический вес.</t>
  </si>
  <si>
    <t xml:space="preserve">Итого (по первым вариантам):</t>
  </si>
  <si>
    <t xml:space="preserve">Соответствие: «точно» — та же позиция; «аналог» — точной нет, предложена ближайшая; «уточнить» — в заявке не хватает данных, взят наиболее вероятный вариант. Серые строки — варианты.</t>
  </si>
  <si>
    <t xml:space="preserve">«Дешевле всего» — минимум по складам Москва/Екатеринбург/Челябинск/Пермь/Новосибирск/Омск без учёта доставки.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</si>
</sst>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%"/>
    <numFmt numFmtId="167" formatCode="#,##0;\-#,##0;\-"/>
    <numFmt numFmtId="168" formatCode="0.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007A33"/>
      <name val="Arial"/>
      <family val="0"/>
      <charset val="1"/>
    </font>
    <font>
      <b val="true"/>
      <sz val="11"/>
      <color rgb="FF7F6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305496"/>
        <bgColor rgb="FF666699"/>
      </patternFill>
    </fill>
    <fill>
      <patternFill patternType="solid">
        <fgColor rgb="FFEDEDE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42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16" min="8" style="0" width="14"/>
    <col collapsed="false" customWidth="true" hidden="false" outlineLevel="0" max="17" min="17" style="0" width="26"/>
    <col collapsed="false" customWidth="true" hidden="false" outlineLevel="0" max="18" min="18" style="0" width="4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5.67</v>
      </c>
      <c r="C3" s="4" t="s">
        <v>2</v>
      </c>
    </row>
    <row r="4" customFormat="false" ht="15" hidden="false" customHeight="false" outlineLevel="0" collapsed="false">
      <c r="A4" s="2" t="s">
        <v>3</v>
      </c>
      <c r="B4" s="5" t="n">
        <v>0.22</v>
      </c>
      <c r="C4" s="4" t="s">
        <v>4</v>
      </c>
    </row>
    <row r="5" customFormat="false" ht="15" hidden="false" customHeight="false" outlineLevel="0" collapsed="false">
      <c r="A5" s="2" t="s">
        <v>5</v>
      </c>
      <c r="B5" s="5" t="n">
        <v>0.16</v>
      </c>
      <c r="C5" s="4" t="s">
        <v>6</v>
      </c>
    </row>
    <row r="7" customFormat="false" ht="31.5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9" customFormat="false" ht="4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  <c r="J9" s="7" t="s">
        <v>17</v>
      </c>
      <c r="K9" s="7" t="s">
        <v>18</v>
      </c>
      <c r="L9" s="7" t="s">
        <v>19</v>
      </c>
      <c r="M9" s="7" t="s">
        <v>20</v>
      </c>
      <c r="N9" s="7" t="s">
        <v>21</v>
      </c>
      <c r="O9" s="7" t="s">
        <v>22</v>
      </c>
      <c r="P9" s="7" t="s">
        <v>23</v>
      </c>
      <c r="Q9" s="7" t="s">
        <v>24</v>
      </c>
      <c r="R9" s="7" t="s">
        <v>25</v>
      </c>
    </row>
    <row r="10" customFormat="false" ht="39.55" hidden="false" customHeight="false" outlineLevel="0" collapsed="false">
      <c r="A10" s="8" t="n">
        <v>1</v>
      </c>
      <c r="B10" s="8" t="s">
        <v>26</v>
      </c>
      <c r="C10" s="8" t="n">
        <v>48</v>
      </c>
      <c r="D10" s="8" t="s">
        <v>27</v>
      </c>
      <c r="E10" s="8" t="s">
        <v>28</v>
      </c>
      <c r="F10" s="9" t="s">
        <v>29</v>
      </c>
      <c r="G10" s="8" t="s">
        <v>30</v>
      </c>
      <c r="H10" s="10" t="n">
        <v>60590</v>
      </c>
      <c r="I10" s="11" t="n">
        <v>54.904</v>
      </c>
      <c r="J10" s="12" t="n">
        <f aca="false">H10/(1+$B$4)*$B$3*(1+$B$5)</f>
        <v>326649.629508197</v>
      </c>
      <c r="K10" s="12" t="n">
        <f aca="false">J10/(1+$B$5)</f>
        <v>281594.508196721</v>
      </c>
      <c r="L10" s="12" t="n">
        <f aca="false">J10*I10/1000</f>
        <v>17934.371258518</v>
      </c>
      <c r="M10" s="12" t="n">
        <f aca="false">C10*L10</f>
        <v>860849.820408866</v>
      </c>
      <c r="N10" s="8" t="s">
        <v>30</v>
      </c>
      <c r="O10" s="10" t="n">
        <v>60590</v>
      </c>
      <c r="P10" s="12" t="n">
        <f aca="false">O10/(1+$B$4)*$B$3*(1+$B$5)</f>
        <v>326649.629508197</v>
      </c>
      <c r="Q10" s="8" t="s">
        <v>31</v>
      </c>
      <c r="R10" s="8" t="s">
        <v>32</v>
      </c>
    </row>
    <row r="11" customFormat="false" ht="26.85" hidden="false" customHeight="false" outlineLevel="0" collapsed="false">
      <c r="A11" s="8" t="n">
        <v>2</v>
      </c>
      <c r="B11" s="8" t="s">
        <v>33</v>
      </c>
      <c r="C11" s="8" t="n">
        <v>60</v>
      </c>
      <c r="D11" s="8" t="s">
        <v>27</v>
      </c>
      <c r="E11" s="8" t="s">
        <v>34</v>
      </c>
      <c r="F11" s="9" t="s">
        <v>29</v>
      </c>
      <c r="G11" s="8" t="s">
        <v>30</v>
      </c>
      <c r="H11" s="10" t="n">
        <v>60090</v>
      </c>
      <c r="I11" s="11" t="n">
        <v>30.277</v>
      </c>
      <c r="J11" s="12" t="n">
        <f aca="false">H11/(1+$B$4)*$B$3*(1+$B$5)</f>
        <v>323954.055737705</v>
      </c>
      <c r="K11" s="12" t="n">
        <f aca="false">J11/(1+$B$5)</f>
        <v>279270.737704918</v>
      </c>
      <c r="L11" s="12" t="n">
        <f aca="false">J11*I11/1000</f>
        <v>9808.35694557049</v>
      </c>
      <c r="M11" s="12" t="n">
        <f aca="false">C11*L11</f>
        <v>588501.41673423</v>
      </c>
      <c r="N11" s="8" t="s">
        <v>30</v>
      </c>
      <c r="O11" s="10" t="n">
        <v>60090</v>
      </c>
      <c r="P11" s="12" t="n">
        <f aca="false">O11/(1+$B$4)*$B$3*(1+$B$5)</f>
        <v>323954.055737705</v>
      </c>
      <c r="Q11" s="8" t="s">
        <v>35</v>
      </c>
      <c r="R11" s="8" t="s">
        <v>36</v>
      </c>
    </row>
    <row r="12" customFormat="false" ht="26.85" hidden="false" customHeight="false" outlineLevel="0" collapsed="false">
      <c r="A12" s="8" t="n">
        <v>3</v>
      </c>
      <c r="B12" s="8" t="s">
        <v>37</v>
      </c>
      <c r="C12" s="8" t="n">
        <v>18</v>
      </c>
      <c r="D12" s="8" t="s">
        <v>27</v>
      </c>
      <c r="E12" s="8" t="s">
        <v>38</v>
      </c>
      <c r="F12" s="9" t="s">
        <v>29</v>
      </c>
      <c r="G12" s="8" t="s">
        <v>30</v>
      </c>
      <c r="H12" s="10" t="n">
        <v>56090</v>
      </c>
      <c r="I12" s="11" t="n">
        <v>18.122</v>
      </c>
      <c r="J12" s="12" t="n">
        <f aca="false">H12/(1+$B$4)*$B$3*(1+$B$5)</f>
        <v>302389.46557377</v>
      </c>
      <c r="K12" s="12" t="n">
        <f aca="false">J12/(1+$B$5)</f>
        <v>260680.573770492</v>
      </c>
      <c r="L12" s="12" t="n">
        <f aca="false">J12*I12/1000</f>
        <v>5479.90189512787</v>
      </c>
      <c r="M12" s="12" t="n">
        <f aca="false">C12*L12</f>
        <v>98638.2341123016</v>
      </c>
      <c r="N12" s="8" t="s">
        <v>30</v>
      </c>
      <c r="O12" s="10" t="n">
        <v>56090</v>
      </c>
      <c r="P12" s="12" t="n">
        <f aca="false">O12/(1+$B$4)*$B$3*(1+$B$5)</f>
        <v>302389.46557377</v>
      </c>
      <c r="Q12" s="8" t="s">
        <v>39</v>
      </c>
      <c r="R12" s="8" t="s">
        <v>40</v>
      </c>
    </row>
    <row r="13" customFormat="false" ht="39.55" hidden="false" customHeight="false" outlineLevel="0" collapsed="false">
      <c r="A13" s="8" t="n">
        <v>4</v>
      </c>
      <c r="B13" s="8" t="s">
        <v>41</v>
      </c>
      <c r="C13" s="8" t="n">
        <v>42</v>
      </c>
      <c r="D13" s="8" t="s">
        <v>42</v>
      </c>
      <c r="E13" s="8" t="s">
        <v>43</v>
      </c>
      <c r="F13" s="13" t="s">
        <v>44</v>
      </c>
      <c r="G13" s="8" t="s">
        <v>30</v>
      </c>
      <c r="H13" s="10" t="n">
        <v>55990</v>
      </c>
      <c r="I13" s="14" t="n">
        <v>31.4</v>
      </c>
      <c r="J13" s="12" t="n">
        <f aca="false">H13/(1+$B$4)*$B$3*(1+$B$5)</f>
        <v>301850.350819672</v>
      </c>
      <c r="K13" s="12" t="n">
        <f aca="false">J13/(1+$B$5)</f>
        <v>260215.819672131</v>
      </c>
      <c r="L13" s="12" t="n">
        <f aca="false">J13*I13/1000</f>
        <v>9478.1010157377</v>
      </c>
      <c r="M13" s="12" t="n">
        <f aca="false">C13*L13</f>
        <v>398080.242660983</v>
      </c>
      <c r="N13" s="8" t="s">
        <v>30</v>
      </c>
      <c r="O13" s="10" t="n">
        <v>55990</v>
      </c>
      <c r="P13" s="12" t="n">
        <f aca="false">O13/(1+$B$4)*$B$3*(1+$B$5)</f>
        <v>301850.350819672</v>
      </c>
      <c r="Q13" s="8" t="s">
        <v>45</v>
      </c>
      <c r="R13" s="8" t="s">
        <v>46</v>
      </c>
    </row>
    <row r="14" customFormat="false" ht="26.85" hidden="false" customHeight="false" outlineLevel="0" collapsed="false">
      <c r="A14" s="15"/>
      <c r="B14" s="15" t="s">
        <v>47</v>
      </c>
      <c r="C14" s="15"/>
      <c r="D14" s="15"/>
      <c r="E14" s="15" t="s">
        <v>48</v>
      </c>
      <c r="F14" s="16" t="s">
        <v>29</v>
      </c>
      <c r="G14" s="15" t="s">
        <v>30</v>
      </c>
      <c r="H14" s="17" t="n">
        <v>62990</v>
      </c>
      <c r="I14" s="18" t="n">
        <v>31.4</v>
      </c>
      <c r="J14" s="19" t="n">
        <f aca="false">H14/(1+$B$4)*$B$3*(1+$B$5)</f>
        <v>339588.383606557</v>
      </c>
      <c r="K14" s="19" t="n">
        <f aca="false">J14/(1+$B$5)</f>
        <v>292748.606557377</v>
      </c>
      <c r="L14" s="19" t="n">
        <f aca="false">J14*I14/1000</f>
        <v>10663.0752452459</v>
      </c>
      <c r="M14" s="20"/>
      <c r="N14" s="15" t="s">
        <v>30</v>
      </c>
      <c r="O14" s="17" t="n">
        <v>62990</v>
      </c>
      <c r="P14" s="19" t="n">
        <f aca="false">O14/(1+$B$4)*$B$3*(1+$B$5)</f>
        <v>339588.383606557</v>
      </c>
      <c r="Q14" s="15" t="s">
        <v>49</v>
      </c>
      <c r="R14" s="15" t="s">
        <v>50</v>
      </c>
    </row>
    <row r="15" customFormat="false" ht="26.85" hidden="false" customHeight="false" outlineLevel="0" collapsed="false">
      <c r="A15" s="8" t="n">
        <v>5</v>
      </c>
      <c r="B15" s="8" t="s">
        <v>51</v>
      </c>
      <c r="C15" s="8" t="n">
        <v>20</v>
      </c>
      <c r="D15" s="8" t="s">
        <v>42</v>
      </c>
      <c r="E15" s="8" t="s">
        <v>52</v>
      </c>
      <c r="F15" s="13" t="s">
        <v>44</v>
      </c>
      <c r="G15" s="8" t="s">
        <v>30</v>
      </c>
      <c r="H15" s="10" t="n">
        <v>66490</v>
      </c>
      <c r="I15" s="11" t="n">
        <v>172.7</v>
      </c>
      <c r="J15" s="12" t="n">
        <f aca="false">H15/(1+$B$4)*$B$3*(1+$B$5)</f>
        <v>358457.4</v>
      </c>
      <c r="K15" s="12" t="n">
        <f aca="false">J15/(1+$B$5)</f>
        <v>309015</v>
      </c>
      <c r="L15" s="12" t="n">
        <f aca="false">J15*I15/1000</f>
        <v>61905.59298</v>
      </c>
      <c r="M15" s="12" t="n">
        <f aca="false">C15*L15</f>
        <v>1238111.8596</v>
      </c>
      <c r="N15" s="8" t="s">
        <v>30</v>
      </c>
      <c r="O15" s="10" t="n">
        <v>66490</v>
      </c>
      <c r="P15" s="12" t="n">
        <f aca="false">O15/(1+$B$4)*$B$3*(1+$B$5)</f>
        <v>358457.4</v>
      </c>
      <c r="Q15" s="8" t="s">
        <v>53</v>
      </c>
      <c r="R15" s="8" t="s">
        <v>54</v>
      </c>
    </row>
    <row r="16" customFormat="false" ht="26.85" hidden="false" customHeight="false" outlineLevel="0" collapsed="false">
      <c r="A16" s="8" t="n">
        <v>6</v>
      </c>
      <c r="B16" s="8" t="s">
        <v>55</v>
      </c>
      <c r="C16" s="8" t="n">
        <v>3</v>
      </c>
      <c r="D16" s="8" t="s">
        <v>42</v>
      </c>
      <c r="E16" s="8" t="s">
        <v>56</v>
      </c>
      <c r="F16" s="13" t="s">
        <v>44</v>
      </c>
      <c r="G16" s="8" t="s">
        <v>30</v>
      </c>
      <c r="H16" s="10" t="n">
        <v>61490</v>
      </c>
      <c r="I16" s="11" t="n">
        <v>94.2</v>
      </c>
      <c r="J16" s="12" t="n">
        <f aca="false">H16/(1+$B$4)*$B$3*(1+$B$5)</f>
        <v>331501.662295082</v>
      </c>
      <c r="K16" s="12" t="n">
        <f aca="false">J16/(1+$B$5)</f>
        <v>285777.295081967</v>
      </c>
      <c r="L16" s="12" t="n">
        <f aca="false">J16*I16/1000</f>
        <v>31227.4565881967</v>
      </c>
      <c r="M16" s="12" t="n">
        <f aca="false">C16*L16</f>
        <v>93682.3697645902</v>
      </c>
      <c r="N16" s="8" t="s">
        <v>30</v>
      </c>
      <c r="O16" s="10" t="n">
        <v>61490</v>
      </c>
      <c r="P16" s="12" t="n">
        <f aca="false">O16/(1+$B$4)*$B$3*(1+$B$5)</f>
        <v>331501.662295082</v>
      </c>
      <c r="Q16" s="8" t="s">
        <v>57</v>
      </c>
      <c r="R16" s="8" t="s">
        <v>54</v>
      </c>
    </row>
    <row r="17" customFormat="false" ht="26.85" hidden="false" customHeight="false" outlineLevel="0" collapsed="false">
      <c r="A17" s="8" t="n">
        <v>7</v>
      </c>
      <c r="B17" s="8" t="s">
        <v>58</v>
      </c>
      <c r="C17" s="8" t="n">
        <v>7</v>
      </c>
      <c r="D17" s="8" t="s">
        <v>27</v>
      </c>
      <c r="E17" s="8" t="s">
        <v>59</v>
      </c>
      <c r="F17" s="21" t="s">
        <v>60</v>
      </c>
      <c r="G17" s="8" t="s">
        <v>30</v>
      </c>
      <c r="H17" s="10" t="n">
        <v>82800</v>
      </c>
      <c r="I17" s="11" t="n">
        <v>32.9</v>
      </c>
      <c r="J17" s="12" t="n">
        <f aca="false">H17/(1+$B$4)*$B$3*(1+$B$5)</f>
        <v>446387.016393443</v>
      </c>
      <c r="K17" s="12" t="n">
        <f aca="false">J17/(1+$B$5)</f>
        <v>384816.393442623</v>
      </c>
      <c r="L17" s="12" t="n">
        <f aca="false">J17*I17/1000</f>
        <v>14686.1328393443</v>
      </c>
      <c r="M17" s="12" t="n">
        <f aca="false">C17*L17</f>
        <v>102802.92987541</v>
      </c>
      <c r="N17" s="8" t="s">
        <v>30</v>
      </c>
      <c r="O17" s="10" t="n">
        <v>82800</v>
      </c>
      <c r="P17" s="12" t="n">
        <f aca="false">O17/(1+$B$4)*$B$3*(1+$B$5)</f>
        <v>446387.016393443</v>
      </c>
      <c r="Q17" s="8" t="s">
        <v>61</v>
      </c>
      <c r="R17" s="8" t="s">
        <v>62</v>
      </c>
    </row>
    <row r="18" customFormat="false" ht="26.85" hidden="false" customHeight="false" outlineLevel="0" collapsed="false">
      <c r="A18" s="15"/>
      <c r="B18" s="15" t="s">
        <v>47</v>
      </c>
      <c r="C18" s="15"/>
      <c r="D18" s="15"/>
      <c r="E18" s="15" t="s">
        <v>63</v>
      </c>
      <c r="F18" s="22" t="s">
        <v>60</v>
      </c>
      <c r="G18" s="15" t="s">
        <v>30</v>
      </c>
      <c r="H18" s="17" t="n">
        <v>82500</v>
      </c>
      <c r="I18" s="23" t="n">
        <v>53.6</v>
      </c>
      <c r="J18" s="19" t="n">
        <f aca="false">H18/(1+$B$4)*$B$3*(1+$B$5)</f>
        <v>444769.672131148</v>
      </c>
      <c r="K18" s="19" t="n">
        <f aca="false">J18/(1+$B$5)</f>
        <v>383422.131147541</v>
      </c>
      <c r="L18" s="19" t="n">
        <f aca="false">J18*I18/1000</f>
        <v>23839.6544262295</v>
      </c>
      <c r="M18" s="20"/>
      <c r="N18" s="15" t="s">
        <v>30</v>
      </c>
      <c r="O18" s="17" t="n">
        <v>82500</v>
      </c>
      <c r="P18" s="19" t="n">
        <f aca="false">O18/(1+$B$4)*$B$3*(1+$B$5)</f>
        <v>444769.672131148</v>
      </c>
      <c r="Q18" s="15" t="s">
        <v>64</v>
      </c>
      <c r="R18" s="15" t="s">
        <v>65</v>
      </c>
    </row>
    <row r="19" customFormat="false" ht="26.85" hidden="false" customHeight="false" outlineLevel="0" collapsed="false">
      <c r="A19" s="8" t="n">
        <v>8</v>
      </c>
      <c r="B19" s="8" t="s">
        <v>66</v>
      </c>
      <c r="C19" s="8" t="n">
        <v>300</v>
      </c>
      <c r="D19" s="8" t="s">
        <v>27</v>
      </c>
      <c r="E19" s="8" t="s">
        <v>67</v>
      </c>
      <c r="F19" s="21" t="s">
        <v>60</v>
      </c>
      <c r="G19" s="8" t="s">
        <v>30</v>
      </c>
      <c r="H19" s="10" t="n">
        <v>82490</v>
      </c>
      <c r="I19" s="11" t="n">
        <v>2.42</v>
      </c>
      <c r="J19" s="12" t="n">
        <f aca="false">H19/(1+$B$4)*$B$3*(1+$B$5)</f>
        <v>444715.760655738</v>
      </c>
      <c r="K19" s="12" t="n">
        <f aca="false">J19/(1+$B$5)</f>
        <v>383375.655737705</v>
      </c>
      <c r="L19" s="12" t="n">
        <f aca="false">J19*I19/1000</f>
        <v>1076.21214078689</v>
      </c>
      <c r="M19" s="12" t="n">
        <f aca="false">C19*L19</f>
        <v>322863.642236066</v>
      </c>
      <c r="N19" s="8" t="s">
        <v>68</v>
      </c>
      <c r="O19" s="10" t="n">
        <v>61590</v>
      </c>
      <c r="P19" s="12" t="n">
        <f aca="false">O19/(1+$B$4)*$B$3*(1+$B$5)</f>
        <v>332040.77704918</v>
      </c>
      <c r="Q19" s="8" t="s">
        <v>69</v>
      </c>
      <c r="R19" s="8" t="s">
        <v>70</v>
      </c>
    </row>
    <row r="20" customFormat="false" ht="26.85" hidden="false" customHeight="false" outlineLevel="0" collapsed="false">
      <c r="A20" s="15"/>
      <c r="B20" s="15" t="s">
        <v>47</v>
      </c>
      <c r="C20" s="15"/>
      <c r="D20" s="15"/>
      <c r="E20" s="15" t="s">
        <v>71</v>
      </c>
      <c r="F20" s="22" t="s">
        <v>60</v>
      </c>
      <c r="G20" s="15" t="s">
        <v>30</v>
      </c>
      <c r="H20" s="17" t="n">
        <v>94990</v>
      </c>
      <c r="I20" s="23" t="n">
        <v>1.85</v>
      </c>
      <c r="J20" s="19" t="n">
        <f aca="false">H20/(1+$B$4)*$B$3*(1+$B$5)</f>
        <v>512105.104918033</v>
      </c>
      <c r="K20" s="19" t="n">
        <f aca="false">J20/(1+$B$5)</f>
        <v>441469.918032787</v>
      </c>
      <c r="L20" s="19" t="n">
        <f aca="false">J20*I20/1000</f>
        <v>947.394444098361</v>
      </c>
      <c r="M20" s="20"/>
      <c r="N20" s="15" t="s">
        <v>68</v>
      </c>
      <c r="O20" s="17" t="n">
        <v>80090</v>
      </c>
      <c r="P20" s="19" t="n">
        <f aca="false">O20/(1+$B$4)*$B$3*(1+$B$5)</f>
        <v>431777.006557377</v>
      </c>
      <c r="Q20" s="15" t="s">
        <v>72</v>
      </c>
      <c r="R20" s="15" t="s">
        <v>73</v>
      </c>
    </row>
    <row r="21" customFormat="false" ht="26.85" hidden="false" customHeight="false" outlineLevel="0" collapsed="false">
      <c r="A21" s="8" t="n">
        <v>9</v>
      </c>
      <c r="B21" s="8" t="s">
        <v>74</v>
      </c>
      <c r="C21" s="8" t="n">
        <v>90</v>
      </c>
      <c r="D21" s="8" t="s">
        <v>27</v>
      </c>
      <c r="E21" s="8" t="s">
        <v>75</v>
      </c>
      <c r="F21" s="13" t="s">
        <v>44</v>
      </c>
      <c r="G21" s="8" t="s">
        <v>30</v>
      </c>
      <c r="H21" s="10" t="n">
        <v>50490</v>
      </c>
      <c r="I21" s="11" t="n">
        <v>1.578</v>
      </c>
      <c r="J21" s="12" t="n">
        <f aca="false">H21/(1+$B$4)*$B$3*(1+$B$5)</f>
        <v>272199.039344262</v>
      </c>
      <c r="K21" s="12" t="n">
        <f aca="false">J21/(1+$B$5)</f>
        <v>234654.344262295</v>
      </c>
      <c r="L21" s="12" t="n">
        <f aca="false">J21*I21/1000</f>
        <v>429.530084085246</v>
      </c>
      <c r="M21" s="12" t="n">
        <f aca="false">C21*L21</f>
        <v>38657.7075676721</v>
      </c>
      <c r="N21" s="8" t="s">
        <v>30</v>
      </c>
      <c r="O21" s="10" t="n">
        <v>50490</v>
      </c>
      <c r="P21" s="12" t="n">
        <f aca="false">O21/(1+$B$4)*$B$3*(1+$B$5)</f>
        <v>272199.039344262</v>
      </c>
      <c r="Q21" s="8" t="s">
        <v>76</v>
      </c>
      <c r="R21" s="8" t="s">
        <v>77</v>
      </c>
    </row>
    <row r="22" customFormat="false" ht="26.85" hidden="false" customHeight="false" outlineLevel="0" collapsed="false">
      <c r="A22" s="8" t="n">
        <v>10</v>
      </c>
      <c r="B22" s="8" t="s">
        <v>78</v>
      </c>
      <c r="C22" s="8" t="n">
        <v>24</v>
      </c>
      <c r="D22" s="8" t="s">
        <v>27</v>
      </c>
      <c r="E22" s="8" t="s">
        <v>79</v>
      </c>
      <c r="F22" s="9" t="s">
        <v>29</v>
      </c>
      <c r="G22" s="8" t="s">
        <v>30</v>
      </c>
      <c r="H22" s="10" t="n">
        <v>132990</v>
      </c>
      <c r="I22" s="11" t="n">
        <v>31.8</v>
      </c>
      <c r="J22" s="12" t="n">
        <f aca="false">H22/(1+$B$4)*$B$3*(1+$B$5)</f>
        <v>716968.71147541</v>
      </c>
      <c r="K22" s="12" t="n">
        <f aca="false">J22/(1+$B$5)</f>
        <v>618076.475409836</v>
      </c>
      <c r="L22" s="12" t="n">
        <f aca="false">J22*I22/1000</f>
        <v>22799.605024918</v>
      </c>
      <c r="M22" s="12" t="n">
        <f aca="false">C22*L22</f>
        <v>547190.520598033</v>
      </c>
      <c r="N22" s="8" t="s">
        <v>30</v>
      </c>
      <c r="O22" s="10" t="n">
        <v>132990</v>
      </c>
      <c r="P22" s="12" t="n">
        <f aca="false">O22/(1+$B$4)*$B$3*(1+$B$5)</f>
        <v>716968.71147541</v>
      </c>
      <c r="Q22" s="8" t="s">
        <v>80</v>
      </c>
      <c r="R22" s="8" t="s">
        <v>81</v>
      </c>
    </row>
    <row r="23" customFormat="false" ht="26.85" hidden="false" customHeight="false" outlineLevel="0" collapsed="false">
      <c r="A23" s="15"/>
      <c r="B23" s="15" t="s">
        <v>47</v>
      </c>
      <c r="C23" s="15"/>
      <c r="D23" s="15"/>
      <c r="E23" s="15" t="s">
        <v>82</v>
      </c>
      <c r="F23" s="16" t="s">
        <v>29</v>
      </c>
      <c r="G23" s="15" t="s">
        <v>30</v>
      </c>
      <c r="H23" s="17" t="n">
        <v>93500</v>
      </c>
      <c r="I23" s="23" t="n">
        <v>22.985</v>
      </c>
      <c r="J23" s="19" t="n">
        <f aca="false">H23/(1+$B$4)*$B$3*(1+$B$5)</f>
        <v>504072.295081967</v>
      </c>
      <c r="K23" s="19" t="n">
        <f aca="false">J23/(1+$B$5)</f>
        <v>434545.081967213</v>
      </c>
      <c r="L23" s="19" t="n">
        <f aca="false">J23*I23/1000</f>
        <v>11586.101702459</v>
      </c>
      <c r="M23" s="20"/>
      <c r="N23" s="15" t="s">
        <v>30</v>
      </c>
      <c r="O23" s="17" t="n">
        <v>93500</v>
      </c>
      <c r="P23" s="19" t="n">
        <f aca="false">O23/(1+$B$4)*$B$3*(1+$B$5)</f>
        <v>504072.295081967</v>
      </c>
      <c r="Q23" s="15" t="s">
        <v>83</v>
      </c>
      <c r="R23" s="15" t="s">
        <v>84</v>
      </c>
    </row>
    <row r="24" customFormat="false" ht="26.85" hidden="false" customHeight="false" outlineLevel="0" collapsed="false">
      <c r="A24" s="8" t="n">
        <v>11</v>
      </c>
      <c r="B24" s="8" t="s">
        <v>85</v>
      </c>
      <c r="C24" s="8" t="n">
        <v>1</v>
      </c>
      <c r="D24" s="8" t="s">
        <v>86</v>
      </c>
      <c r="E24" s="24"/>
      <c r="F24" s="25" t="s">
        <v>87</v>
      </c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8" t="s">
        <v>88</v>
      </c>
    </row>
    <row r="25" customFormat="false" ht="26.85" hidden="false" customHeight="false" outlineLevel="0" collapsed="false">
      <c r="A25" s="8" t="n">
        <v>12</v>
      </c>
      <c r="B25" s="8" t="s">
        <v>89</v>
      </c>
      <c r="C25" s="8" t="n">
        <v>1</v>
      </c>
      <c r="D25" s="8" t="s">
        <v>86</v>
      </c>
      <c r="E25" s="24"/>
      <c r="F25" s="25" t="s">
        <v>87</v>
      </c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8" t="s">
        <v>88</v>
      </c>
    </row>
    <row r="26" customFormat="false" ht="39.55" hidden="false" customHeight="false" outlineLevel="0" collapsed="false">
      <c r="A26" s="8" t="n">
        <v>13</v>
      </c>
      <c r="B26" s="8" t="s">
        <v>90</v>
      </c>
      <c r="C26" s="8" t="n">
        <v>24</v>
      </c>
      <c r="D26" s="8" t="s">
        <v>86</v>
      </c>
      <c r="E26" s="8" t="s">
        <v>91</v>
      </c>
      <c r="F26" s="9" t="s">
        <v>29</v>
      </c>
      <c r="G26" s="8" t="s">
        <v>30</v>
      </c>
      <c r="H26" s="10" t="n">
        <v>64590</v>
      </c>
      <c r="I26" s="11" t="n">
        <v>82.468</v>
      </c>
      <c r="J26" s="12" t="n">
        <f aca="false">H26/(1+$B$4)*$B$3*(1+$B$5)</f>
        <v>348214.219672131</v>
      </c>
      <c r="K26" s="12" t="n">
        <f aca="false">J26/(1+$B$5)</f>
        <v>300184.672131148</v>
      </c>
      <c r="L26" s="12" t="n">
        <f aca="false">J26*I26/1000</f>
        <v>28716.5302679213</v>
      </c>
      <c r="M26" s="24"/>
      <c r="N26" s="8" t="s">
        <v>30</v>
      </c>
      <c r="O26" s="10" t="n">
        <v>64590</v>
      </c>
      <c r="P26" s="12" t="n">
        <f aca="false">O26/(1+$B$4)*$B$3*(1+$B$5)</f>
        <v>348214.219672131</v>
      </c>
      <c r="Q26" s="8" t="s">
        <v>92</v>
      </c>
      <c r="R26" s="8" t="s">
        <v>93</v>
      </c>
    </row>
    <row r="27" customFormat="false" ht="26.85" hidden="false" customHeight="false" outlineLevel="0" collapsed="false">
      <c r="A27" s="15"/>
      <c r="B27" s="15" t="s">
        <v>47</v>
      </c>
      <c r="C27" s="15"/>
      <c r="D27" s="15"/>
      <c r="E27" s="15" t="s">
        <v>94</v>
      </c>
      <c r="F27" s="16" t="s">
        <v>29</v>
      </c>
      <c r="G27" s="15" t="s">
        <v>30</v>
      </c>
      <c r="H27" s="17" t="n">
        <v>64590</v>
      </c>
      <c r="I27" s="23" t="n">
        <v>102.592</v>
      </c>
      <c r="J27" s="19" t="n">
        <f aca="false">H27/(1+$B$4)*$B$3*(1+$B$5)</f>
        <v>348214.219672131</v>
      </c>
      <c r="K27" s="19" t="n">
        <f aca="false">J27/(1+$B$5)</f>
        <v>300184.672131148</v>
      </c>
      <c r="L27" s="19" t="n">
        <f aca="false">J27*I27/1000</f>
        <v>35723.9932246033</v>
      </c>
      <c r="M27" s="20"/>
      <c r="N27" s="15" t="s">
        <v>30</v>
      </c>
      <c r="O27" s="17" t="n">
        <v>64590</v>
      </c>
      <c r="P27" s="19" t="n">
        <f aca="false">O27/(1+$B$4)*$B$3*(1+$B$5)</f>
        <v>348214.219672131</v>
      </c>
      <c r="Q27" s="15" t="s">
        <v>95</v>
      </c>
      <c r="R27" s="15" t="s">
        <v>96</v>
      </c>
    </row>
    <row r="28" customFormat="false" ht="15" hidden="false" customHeight="false" outlineLevel="0" collapsed="false">
      <c r="L28" s="26" t="s">
        <v>97</v>
      </c>
      <c r="M28" s="27" t="n">
        <f aca="false">M10+M11+M12+M13+M15+M16+M17+M19+M21+M22</f>
        <v>4289378.74355815</v>
      </c>
    </row>
    <row r="30" customFormat="false" ht="15" hidden="false" customHeight="false" outlineLevel="0" collapsed="false">
      <c r="A30" s="28" t="s">
        <v>98</v>
      </c>
    </row>
    <row r="31" customFormat="false" ht="15" hidden="false" customHeight="false" outlineLevel="0" collapsed="false">
      <c r="A31" s="28" t="s">
        <v>99</v>
      </c>
    </row>
  </sheetData>
  <mergeCells count="1">
    <mergeCell ref="A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2026-10-29T11:58:37Z</dcterms:created>
  <dc:creator>openpyxl</dc:creator>
  <dc:description/>
  <dc:language>en-US</dc:language>
  <cp:lastModifiedBy/>
  <dcterms:modified xsi:type="dcterms:W3CDTF">2026-10-29T11:58:38Z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